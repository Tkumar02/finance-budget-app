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k" sheetId="1" r:id="rId5"/>
    <sheet state="visible" name="50k" sheetId="2" r:id="rId6"/>
    <sheet state="visible" name="Plan Calculator" sheetId="3" r:id="rId7"/>
    <sheet state="visible" name="LISA Plan Calculator" sheetId="4" r:id="rId8"/>
    <sheet state="visible" name="taxed plan" sheetId="5" r:id="rId9"/>
    <sheet state="visible" name="3% growth plan" sheetId="6" r:id="rId10"/>
  </sheets>
  <definedNames>
    <definedName hidden="1" localSheetId="4" name="_xlnm._FilterDatabase">'taxed plan'!$A$1:$K$51</definedName>
  </definedNames>
  <calcPr/>
</workbook>
</file>

<file path=xl/sharedStrings.xml><?xml version="1.0" encoding="utf-8"?>
<sst xmlns="http://schemas.openxmlformats.org/spreadsheetml/2006/main" count="1869" uniqueCount="263">
  <si>
    <t>Age</t>
  </si>
  <si>
    <t>Phase</t>
  </si>
  <si>
    <t>Contribs</t>
  </si>
  <si>
    <t>Spend</t>
  </si>
  <si>
    <t>State Pension</t>
  </si>
  <si>
    <t>Other Income</t>
  </si>
  <si>
    <t>W-Cash</t>
  </si>
  <si>
    <t>W-GIA</t>
  </si>
  <si>
    <t>W-ISA</t>
  </si>
  <si>
    <t>W-Pension</t>
  </si>
  <si>
    <t>W-Total</t>
  </si>
  <si>
    <t>End Cash</t>
  </si>
  <si>
    <t>End ISA</t>
  </si>
  <si>
    <t>End GIA</t>
  </si>
  <si>
    <t>End Pension</t>
  </si>
  <si>
    <t>Total</t>
  </si>
  <si>
    <t>Working</t>
  </si>
  <si>
    <t>£46,600</t>
  </si>
  <si>
    <t>—</t>
  </si>
  <si>
    <t>£16,800</t>
  </si>
  <si>
    <t>£10,100</t>
  </si>
  <si>
    <t>£45,925</t>
  </si>
  <si>
    <t>£0</t>
  </si>
  <si>
    <t>£73,265</t>
  </si>
  <si>
    <t>£129,290</t>
  </si>
  <si>
    <t>£10,201</t>
  </si>
  <si>
    <t>£67,624</t>
  </si>
  <si>
    <t>£102,576</t>
  </si>
  <si>
    <t>£180,401</t>
  </si>
  <si>
    <t>£10,303</t>
  </si>
  <si>
    <t>£90,126</t>
  </si>
  <si>
    <t>£132,971</t>
  </si>
  <si>
    <t>£233,400</t>
  </si>
  <si>
    <t>£10,406</t>
  </si>
  <si>
    <t>£113,461</t>
  </si>
  <si>
    <t>£164,491</t>
  </si>
  <si>
    <t>£288,358</t>
  </si>
  <si>
    <t>£10,510</t>
  </si>
  <si>
    <t>£137,659</t>
  </si>
  <si>
    <t>£197,177</t>
  </si>
  <si>
    <t>£345,346</t>
  </si>
  <si>
    <t>Bridge</t>
  </si>
  <si>
    <t>£32,400</t>
  </si>
  <si>
    <t>£10,615</t>
  </si>
  <si>
    <t>£4,985</t>
  </si>
  <si>
    <t>£15,600</t>
  </si>
  <si>
    <t>£137,768</t>
  </si>
  <si>
    <t>£204,473</t>
  </si>
  <si>
    <t>£342,240</t>
  </si>
  <si>
    <t>£127,265</t>
  </si>
  <si>
    <t>£212,038</t>
  </si>
  <si>
    <t>£339,303</t>
  </si>
  <si>
    <t>£116,374</t>
  </si>
  <si>
    <t>£219,884</t>
  </si>
  <si>
    <t>£336,258</t>
  </si>
  <si>
    <t>£105,080</t>
  </si>
  <si>
    <t>£228,019</t>
  </si>
  <si>
    <t>£333,099</t>
  </si>
  <si>
    <t>£93,368</t>
  </si>
  <si>
    <t>£236,456</t>
  </si>
  <si>
    <t>£329,824</t>
  </si>
  <si>
    <t>£81,222</t>
  </si>
  <si>
    <t>£245,205</t>
  </si>
  <si>
    <t>£326,427</t>
  </si>
  <si>
    <t>£68,627</t>
  </si>
  <si>
    <t>£254,278</t>
  </si>
  <si>
    <t>£322,905</t>
  </si>
  <si>
    <t>£55,567</t>
  </si>
  <si>
    <t>£263,686</t>
  </si>
  <si>
    <t>£319,252</t>
  </si>
  <si>
    <t>£42,023</t>
  </si>
  <si>
    <t>£273,442</t>
  </si>
  <si>
    <t>£315,465</t>
  </si>
  <si>
    <t>£27,977</t>
  </si>
  <si>
    <t>£283,560</t>
  </si>
  <si>
    <t>£311,537</t>
  </si>
  <si>
    <t>£13,413</t>
  </si>
  <si>
    <t>£294,051</t>
  </si>
  <si>
    <t>£307,464</t>
  </si>
  <si>
    <t>Retirement</t>
  </si>
  <si>
    <t>£13,909</t>
  </si>
  <si>
    <t>£1,691</t>
  </si>
  <si>
    <t>£303,240</t>
  </si>
  <si>
    <t>£298,860</t>
  </si>
  <si>
    <t>£294,318</t>
  </si>
  <si>
    <t>£289,608</t>
  </si>
  <si>
    <t>£284,723</t>
  </si>
  <si>
    <t>£279,658</t>
  </si>
  <si>
    <t>£274,405</t>
  </si>
  <si>
    <t>£268,958</t>
  </si>
  <si>
    <t>£263,310</t>
  </si>
  <si>
    <t>£257,452</t>
  </si>
  <si>
    <t>£11,000</t>
  </si>
  <si>
    <t>£4,600</t>
  </si>
  <si>
    <t>£262,378</t>
  </si>
  <si>
    <t>£267,486</t>
  </si>
  <si>
    <t>£272,783</t>
  </si>
  <si>
    <t>£278,276</t>
  </si>
  <si>
    <t>£283,972</t>
  </si>
  <si>
    <t>£289,879</t>
  </si>
  <si>
    <t>£296,004</t>
  </si>
  <si>
    <t>£302,356</t>
  </si>
  <si>
    <t>£308,944</t>
  </si>
  <si>
    <t>£315,775</t>
  </si>
  <si>
    <t>£322,858</t>
  </si>
  <si>
    <t>£330,204</t>
  </si>
  <si>
    <t>£337,821</t>
  </si>
  <si>
    <t>£345,721</t>
  </si>
  <si>
    <t>£353,913</t>
  </si>
  <si>
    <t>£362,407</t>
  </si>
  <si>
    <t>£371,216</t>
  </si>
  <si>
    <t>£380,351</t>
  </si>
  <si>
    <t>£389,824</t>
  </si>
  <si>
    <t>£399,648</t>
  </si>
  <si>
    <t>£409,835</t>
  </si>
  <si>
    <t>£420,399</t>
  </si>
  <si>
    <t>£431,353</t>
  </si>
  <si>
    <t>£442,714</t>
  </si>
  <si>
    <t>£21,000</t>
  </si>
  <si>
    <t>£400</t>
  </si>
  <si>
    <t>£611,400</t>
  </si>
  <si>
    <t>A-Pension</t>
  </si>
  <si>
    <t>£42,600</t>
  </si>
  <si>
    <t>£41,925</t>
  </si>
  <si>
    <t>£125,290</t>
  </si>
  <si>
    <t>£59,476</t>
  </si>
  <si>
    <t>£172,253</t>
  </si>
  <si>
    <t>£77,677</t>
  </si>
  <si>
    <t>£220,951</t>
  </si>
  <si>
    <t>£96,551</t>
  </si>
  <si>
    <t>£271,448</t>
  </si>
  <si>
    <t>£116,123</t>
  </si>
  <si>
    <t>£323,811</t>
  </si>
  <si>
    <t>£136,420</t>
  </si>
  <si>
    <t>£231,073</t>
  </si>
  <si>
    <t>£378,108</t>
  </si>
  <si>
    <t>£10,721</t>
  </si>
  <si>
    <t>£157,467</t>
  </si>
  <si>
    <t>£266,222</t>
  </si>
  <si>
    <t>£434,411</t>
  </si>
  <si>
    <t>£10,829</t>
  </si>
  <si>
    <t>£179,294</t>
  </si>
  <si>
    <t>£302,673</t>
  </si>
  <si>
    <t>£492,795</t>
  </si>
  <si>
    <t>£10,937</t>
  </si>
  <si>
    <t>£201,928</t>
  </si>
  <si>
    <t>£340,472</t>
  </si>
  <si>
    <t>£553,336</t>
  </si>
  <si>
    <t>£11,046</t>
  </si>
  <si>
    <t>£225,399</t>
  </si>
  <si>
    <t>£379,669</t>
  </si>
  <si>
    <t>£616,114</t>
  </si>
  <si>
    <t>£50,000</t>
  </si>
  <si>
    <t>£11,157</t>
  </si>
  <si>
    <t>£22,043</t>
  </si>
  <si>
    <t>£33,200</t>
  </si>
  <si>
    <t>£211,695</t>
  </si>
  <si>
    <t>£393,717</t>
  </si>
  <si>
    <t>£605,412</t>
  </si>
  <si>
    <t>£186,328</t>
  </si>
  <si>
    <t>£408,284</t>
  </si>
  <si>
    <t>£594,612</t>
  </si>
  <si>
    <t>£160,022</t>
  </si>
  <si>
    <t>£423,391</t>
  </si>
  <si>
    <t>£583,413</t>
  </si>
  <si>
    <t>£132,743</t>
  </si>
  <si>
    <t>£439,056</t>
  </si>
  <si>
    <t>£571,799</t>
  </si>
  <si>
    <t>£104,454</t>
  </si>
  <si>
    <t>£455,301</t>
  </si>
  <si>
    <t>£559,756</t>
  </si>
  <si>
    <t>£75,119</t>
  </si>
  <si>
    <t>£472,148</t>
  </si>
  <si>
    <t>£547,267</t>
  </si>
  <si>
    <t>£44,699</t>
  </si>
  <si>
    <t>£489,617</t>
  </si>
  <si>
    <t>£534,316</t>
  </si>
  <si>
    <t>£13,153</t>
  </si>
  <si>
    <t>£507,733</t>
  </si>
  <si>
    <t>£520,885</t>
  </si>
  <si>
    <t>£13,639</t>
  </si>
  <si>
    <t>£19,561</t>
  </si>
  <si>
    <t>£506,958</t>
  </si>
  <si>
    <t>£492,516</t>
  </si>
  <si>
    <t>£477,539</t>
  </si>
  <si>
    <t>£462,008</t>
  </si>
  <si>
    <t>£445,902</t>
  </si>
  <si>
    <t>£429,200</t>
  </si>
  <si>
    <t>£411,881</t>
  </si>
  <si>
    <t>£393,920</t>
  </si>
  <si>
    <t>£22,200</t>
  </si>
  <si>
    <t>£386,295</t>
  </si>
  <si>
    <t>£378,388</t>
  </si>
  <si>
    <t>£370,189</t>
  </si>
  <si>
    <t>£361,685</t>
  </si>
  <si>
    <t>£352,868</t>
  </si>
  <si>
    <t>£343,724</t>
  </si>
  <si>
    <t>£334,242</t>
  </si>
  <si>
    <t>£324,409</t>
  </si>
  <si>
    <t>£314,212</t>
  </si>
  <si>
    <t>£303,638</t>
  </si>
  <si>
    <t>£292,672</t>
  </si>
  <si>
    <t>£281,301</t>
  </si>
  <si>
    <t>£269,509</t>
  </si>
  <si>
    <t>£257,281</t>
  </si>
  <si>
    <t>£244,601</t>
  </si>
  <si>
    <t>£231,451</t>
  </si>
  <si>
    <t>£217,814</t>
  </si>
  <si>
    <t>£203,674</t>
  </si>
  <si>
    <t>£189,009</t>
  </si>
  <si>
    <t>£173,803</t>
  </si>
  <si>
    <t>£158,034</t>
  </si>
  <si>
    <t>£141,681</t>
  </si>
  <si>
    <t>£124,723</t>
  </si>
  <si>
    <t>£107,138</t>
  </si>
  <si>
    <t>Rate of inflation / growth</t>
  </si>
  <si>
    <t>Post tax amount</t>
  </si>
  <si>
    <t>Net income required</t>
  </si>
  <si>
    <t>ISA Addition</t>
  </si>
  <si>
    <t>Total Gross Income required for retirement</t>
  </si>
  <si>
    <t>ISA Total</t>
  </si>
  <si>
    <t>PP Addition</t>
  </si>
  <si>
    <t>Other Gross Income</t>
  </si>
  <si>
    <t>PP Total</t>
  </si>
  <si>
    <t>Personal allowance</t>
  </si>
  <si>
    <t>State Pension Start</t>
  </si>
  <si>
    <t>Other Net Income</t>
  </si>
  <si>
    <t>Total pot at age 90</t>
  </si>
  <si>
    <t>Total Net Income</t>
  </si>
  <si>
    <t>Source</t>
  </si>
  <si>
    <t>ISA Change</t>
  </si>
  <si>
    <t>PP Change</t>
  </si>
  <si>
    <t>Post tax SP</t>
  </si>
  <si>
    <t>income - state pension</t>
  </si>
  <si>
    <t>Total pot</t>
  </si>
  <si>
    <t>Building</t>
  </si>
  <si>
    <t>Coasting</t>
  </si>
  <si>
    <t>FI</t>
  </si>
  <si>
    <t>Total Pot value at age 90</t>
  </si>
  <si>
    <t>LISA</t>
  </si>
  <si>
    <t>LISA Change</t>
  </si>
  <si>
    <t>age</t>
  </si>
  <si>
    <t>total net income required</t>
  </si>
  <si>
    <t>source</t>
  </si>
  <si>
    <t>phase</t>
  </si>
  <si>
    <t>isa total</t>
  </si>
  <si>
    <t>isa change</t>
  </si>
  <si>
    <t>private pension</t>
  </si>
  <si>
    <t>private pension change</t>
  </si>
  <si>
    <t>state pension after tax</t>
  </si>
  <si>
    <t>total pot</t>
  </si>
  <si>
    <t>salary</t>
  </si>
  <si>
    <t xml:space="preserve">Coasting </t>
  </si>
  <si>
    <t>ISA</t>
  </si>
  <si>
    <t>PP</t>
  </si>
  <si>
    <t>PP + SP</t>
  </si>
  <si>
    <t>ISA + PP + SP</t>
  </si>
  <si>
    <t>live off basic income</t>
  </si>
  <si>
    <t>ISA + SP</t>
  </si>
  <si>
    <t>PP + SP + ISA + DB</t>
  </si>
  <si>
    <t>total gross income required</t>
  </si>
  <si>
    <t>state pension</t>
  </si>
  <si>
    <t>income required after ss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</si>
</sst>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4">
    <font>
      <sz val="10.0"/>
      <color rgb="FF000000"/>
      <name val="Arial"/>
      <scheme val="minor"/>
    </font>
    <font>
      <b/>
      <color rgb="FF083141"/>
      <name val="Inter"/>
    </font>
    <font>
      <color rgb="FF083141"/>
      <name val="Inte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BF2F4"/>
        <bgColor rgb="FFEBF2F4"/>
      </patternFill>
    </fill>
    <fill>
      <patternFill patternType="solid">
        <fgColor rgb="FFF9FAFB"/>
        <bgColor rgb="FFF9FAF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0" fillId="4" fontId="3" numFmtId="164" xfId="0" applyFill="1" applyFont="1" applyNumberFormat="1"/>
    <xf borderId="0" fillId="5" fontId="3" numFmtId="164" xfId="0" applyFill="1" applyFont="1" applyNumberFormat="1"/>
    <xf borderId="0" fillId="6" fontId="3" numFmtId="164" xfId="0" applyFill="1" applyFont="1" applyNumberFormat="1"/>
    <xf borderId="0" fillId="7" fontId="3" numFmtId="164" xfId="0" applyFill="1" applyFont="1" applyNumberFormat="1"/>
    <xf borderId="0" fillId="8" fontId="3" numFmtId="164" xfId="0" applyAlignment="1" applyFill="1" applyFont="1" applyNumberFormat="1">
      <alignment readingOrder="0"/>
    </xf>
    <xf borderId="0" fillId="8" fontId="3" numFmtId="164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12">
    <dxf>
      <font>
        <color rgb="FFCC0000"/>
      </font>
      <fill>
        <patternFill patternType="none"/>
      </fill>
      <border/>
    </dxf>
    <dxf>
      <font>
        <color rgb="FF1155CC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4" pivot="0" name="taxed plan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1" displayName="Retirement_Income_Projection2" name="Retirement_Income_Projection2" id="1">
  <autoFilter ref="$A$1:$K$51"/>
  <tableColumns count="11">
    <tableColumn name="age" id="1"/>
    <tableColumn name="total net income required" id="2"/>
    <tableColumn name="source" id="3"/>
    <tableColumn name="phase" id="4"/>
    <tableColumn name="isa total" id="5"/>
    <tableColumn name="isa change" id="6"/>
    <tableColumn name="private pension" id="7"/>
    <tableColumn name="private pension change" id="8"/>
    <tableColumn name="state pension after tax" id="9"/>
    <tableColumn name="income - state pension" id="10"/>
    <tableColumn name="total pot" id="11"/>
  </tableColumns>
  <tableStyleInfo name="taxed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</row>
    <row r="2">
      <c r="A2" s="3">
        <v>41.0</v>
      </c>
      <c r="B2" s="3" t="s">
        <v>16</v>
      </c>
      <c r="C2" s="4" t="s">
        <v>17</v>
      </c>
      <c r="D2" s="4" t="s">
        <v>18</v>
      </c>
      <c r="E2" s="4" t="s">
        <v>18</v>
      </c>
      <c r="F2" s="4" t="s">
        <v>19</v>
      </c>
      <c r="G2" s="4" t="s">
        <v>18</v>
      </c>
      <c r="H2" s="4" t="s">
        <v>18</v>
      </c>
      <c r="I2" s="4" t="s">
        <v>18</v>
      </c>
      <c r="J2" s="4" t="s">
        <v>18</v>
      </c>
      <c r="K2" s="4" t="s">
        <v>18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/>
    </row>
    <row r="3">
      <c r="A3" s="5">
        <v>42.0</v>
      </c>
      <c r="B3" s="5" t="s">
        <v>16</v>
      </c>
      <c r="C3" s="6" t="s">
        <v>17</v>
      </c>
      <c r="D3" s="6" t="s">
        <v>18</v>
      </c>
      <c r="E3" s="6" t="s">
        <v>18</v>
      </c>
      <c r="F3" s="6" t="s">
        <v>19</v>
      </c>
      <c r="G3" s="6" t="s">
        <v>18</v>
      </c>
      <c r="H3" s="6" t="s">
        <v>18</v>
      </c>
      <c r="I3" s="6" t="s">
        <v>18</v>
      </c>
      <c r="J3" s="6" t="s">
        <v>18</v>
      </c>
      <c r="K3" s="6" t="s">
        <v>18</v>
      </c>
      <c r="L3" s="6" t="s">
        <v>25</v>
      </c>
      <c r="M3" s="6" t="s">
        <v>26</v>
      </c>
      <c r="N3" s="6" t="s">
        <v>22</v>
      </c>
      <c r="O3" s="6" t="s">
        <v>27</v>
      </c>
      <c r="P3" s="6" t="s">
        <v>28</v>
      </c>
      <c r="Q3" s="6"/>
    </row>
    <row r="4">
      <c r="A4" s="3">
        <v>43.0</v>
      </c>
      <c r="B4" s="3" t="s">
        <v>16</v>
      </c>
      <c r="C4" s="4" t="s">
        <v>17</v>
      </c>
      <c r="D4" s="4" t="s">
        <v>18</v>
      </c>
      <c r="E4" s="4" t="s">
        <v>18</v>
      </c>
      <c r="F4" s="4" t="s">
        <v>19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29</v>
      </c>
      <c r="M4" s="4" t="s">
        <v>30</v>
      </c>
      <c r="N4" s="4" t="s">
        <v>22</v>
      </c>
      <c r="O4" s="4" t="s">
        <v>31</v>
      </c>
      <c r="P4" s="4" t="s">
        <v>32</v>
      </c>
      <c r="Q4" s="4"/>
    </row>
    <row r="5">
      <c r="A5" s="5">
        <v>44.0</v>
      </c>
      <c r="B5" s="5" t="s">
        <v>16</v>
      </c>
      <c r="C5" s="6" t="s">
        <v>17</v>
      </c>
      <c r="D5" s="6" t="s">
        <v>18</v>
      </c>
      <c r="E5" s="6" t="s">
        <v>18</v>
      </c>
      <c r="F5" s="6" t="s">
        <v>19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 s="6" t="s">
        <v>33</v>
      </c>
      <c r="M5" s="6" t="s">
        <v>34</v>
      </c>
      <c r="N5" s="6" t="s">
        <v>22</v>
      </c>
      <c r="O5" s="6" t="s">
        <v>35</v>
      </c>
      <c r="P5" s="6" t="s">
        <v>36</v>
      </c>
      <c r="Q5" s="6"/>
    </row>
    <row r="6">
      <c r="A6" s="3">
        <v>45.0</v>
      </c>
      <c r="B6" s="3" t="s">
        <v>16</v>
      </c>
      <c r="C6" s="4" t="s">
        <v>17</v>
      </c>
      <c r="D6" s="4" t="s">
        <v>18</v>
      </c>
      <c r="E6" s="4" t="s">
        <v>18</v>
      </c>
      <c r="F6" s="4" t="s">
        <v>19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37</v>
      </c>
      <c r="M6" s="4" t="s">
        <v>38</v>
      </c>
      <c r="N6" s="4" t="s">
        <v>22</v>
      </c>
      <c r="O6" s="4" t="s">
        <v>39</v>
      </c>
      <c r="P6" s="4" t="s">
        <v>40</v>
      </c>
      <c r="Q6" s="4"/>
    </row>
    <row r="7">
      <c r="A7" s="5">
        <v>46.0</v>
      </c>
      <c r="B7" s="5" t="s">
        <v>41</v>
      </c>
      <c r="C7" s="6" t="s">
        <v>22</v>
      </c>
      <c r="D7" s="6" t="s">
        <v>42</v>
      </c>
      <c r="E7" s="6" t="s">
        <v>18</v>
      </c>
      <c r="F7" s="6" t="s">
        <v>19</v>
      </c>
      <c r="G7" s="6" t="s">
        <v>43</v>
      </c>
      <c r="H7" s="6" t="s">
        <v>18</v>
      </c>
      <c r="I7" s="6" t="s">
        <v>44</v>
      </c>
      <c r="J7" s="6" t="s">
        <v>18</v>
      </c>
      <c r="K7" s="6" t="s">
        <v>45</v>
      </c>
      <c r="L7" s="6" t="s">
        <v>22</v>
      </c>
      <c r="M7" s="6" t="s">
        <v>46</v>
      </c>
      <c r="N7" s="6" t="s">
        <v>22</v>
      </c>
      <c r="O7" s="6" t="s">
        <v>47</v>
      </c>
      <c r="P7" s="6" t="s">
        <v>48</v>
      </c>
      <c r="Q7" s="6"/>
    </row>
    <row r="8">
      <c r="A8" s="3">
        <v>47.0</v>
      </c>
      <c r="B8" s="3" t="s">
        <v>41</v>
      </c>
      <c r="C8" s="4" t="s">
        <v>22</v>
      </c>
      <c r="D8" s="4" t="s">
        <v>42</v>
      </c>
      <c r="E8" s="4" t="s">
        <v>18</v>
      </c>
      <c r="F8" s="4" t="s">
        <v>19</v>
      </c>
      <c r="G8" s="4" t="s">
        <v>18</v>
      </c>
      <c r="H8" s="4" t="s">
        <v>18</v>
      </c>
      <c r="I8" s="4" t="s">
        <v>45</v>
      </c>
      <c r="J8" s="4" t="s">
        <v>18</v>
      </c>
      <c r="K8" s="4" t="s">
        <v>45</v>
      </c>
      <c r="L8" s="4" t="s">
        <v>22</v>
      </c>
      <c r="M8" s="4" t="s">
        <v>49</v>
      </c>
      <c r="N8" s="4" t="s">
        <v>22</v>
      </c>
      <c r="O8" s="4" t="s">
        <v>50</v>
      </c>
      <c r="P8" s="4" t="s">
        <v>51</v>
      </c>
      <c r="Q8" s="4"/>
    </row>
    <row r="9">
      <c r="A9" s="5">
        <v>48.0</v>
      </c>
      <c r="B9" s="5" t="s">
        <v>41</v>
      </c>
      <c r="C9" s="6" t="s">
        <v>22</v>
      </c>
      <c r="D9" s="6" t="s">
        <v>42</v>
      </c>
      <c r="E9" s="6" t="s">
        <v>18</v>
      </c>
      <c r="F9" s="6" t="s">
        <v>19</v>
      </c>
      <c r="G9" s="6" t="s">
        <v>18</v>
      </c>
      <c r="H9" s="6" t="s">
        <v>18</v>
      </c>
      <c r="I9" s="6" t="s">
        <v>45</v>
      </c>
      <c r="J9" s="6" t="s">
        <v>18</v>
      </c>
      <c r="K9" s="6" t="s">
        <v>45</v>
      </c>
      <c r="L9" s="6" t="s">
        <v>22</v>
      </c>
      <c r="M9" s="6" t="s">
        <v>52</v>
      </c>
      <c r="N9" s="6" t="s">
        <v>22</v>
      </c>
      <c r="O9" s="6" t="s">
        <v>53</v>
      </c>
      <c r="P9" s="6" t="s">
        <v>54</v>
      </c>
      <c r="Q9" s="6"/>
    </row>
    <row r="10">
      <c r="A10" s="3">
        <v>49.0</v>
      </c>
      <c r="B10" s="3" t="s">
        <v>41</v>
      </c>
      <c r="C10" s="4" t="s">
        <v>22</v>
      </c>
      <c r="D10" s="4" t="s">
        <v>42</v>
      </c>
      <c r="E10" s="4" t="s">
        <v>18</v>
      </c>
      <c r="F10" s="4" t="s">
        <v>19</v>
      </c>
      <c r="G10" s="4" t="s">
        <v>18</v>
      </c>
      <c r="H10" s="4" t="s">
        <v>18</v>
      </c>
      <c r="I10" s="4" t="s">
        <v>45</v>
      </c>
      <c r="J10" s="4" t="s">
        <v>18</v>
      </c>
      <c r="K10" s="4" t="s">
        <v>45</v>
      </c>
      <c r="L10" s="4" t="s">
        <v>22</v>
      </c>
      <c r="M10" s="4" t="s">
        <v>55</v>
      </c>
      <c r="N10" s="4" t="s">
        <v>22</v>
      </c>
      <c r="O10" s="4" t="s">
        <v>56</v>
      </c>
      <c r="P10" s="4" t="s">
        <v>57</v>
      </c>
      <c r="Q10" s="4"/>
    </row>
    <row r="11">
      <c r="A11" s="5">
        <v>50.0</v>
      </c>
      <c r="B11" s="5" t="s">
        <v>41</v>
      </c>
      <c r="C11" s="6" t="s">
        <v>22</v>
      </c>
      <c r="D11" s="6" t="s">
        <v>42</v>
      </c>
      <c r="E11" s="6" t="s">
        <v>18</v>
      </c>
      <c r="F11" s="6" t="s">
        <v>19</v>
      </c>
      <c r="G11" s="6" t="s">
        <v>18</v>
      </c>
      <c r="H11" s="6" t="s">
        <v>18</v>
      </c>
      <c r="I11" s="6" t="s">
        <v>45</v>
      </c>
      <c r="J11" s="6" t="s">
        <v>18</v>
      </c>
      <c r="K11" s="6" t="s">
        <v>45</v>
      </c>
      <c r="L11" s="6" t="s">
        <v>22</v>
      </c>
      <c r="M11" s="6" t="s">
        <v>58</v>
      </c>
      <c r="N11" s="6" t="s">
        <v>22</v>
      </c>
      <c r="O11" s="6" t="s">
        <v>59</v>
      </c>
      <c r="P11" s="6" t="s">
        <v>60</v>
      </c>
      <c r="Q11" s="6"/>
    </row>
    <row r="12">
      <c r="A12" s="3">
        <v>51.0</v>
      </c>
      <c r="B12" s="3" t="s">
        <v>41</v>
      </c>
      <c r="C12" s="4" t="s">
        <v>22</v>
      </c>
      <c r="D12" s="4" t="s">
        <v>42</v>
      </c>
      <c r="E12" s="4" t="s">
        <v>18</v>
      </c>
      <c r="F12" s="4" t="s">
        <v>19</v>
      </c>
      <c r="G12" s="4" t="s">
        <v>18</v>
      </c>
      <c r="H12" s="4" t="s">
        <v>18</v>
      </c>
      <c r="I12" s="4" t="s">
        <v>45</v>
      </c>
      <c r="J12" s="4" t="s">
        <v>18</v>
      </c>
      <c r="K12" s="4" t="s">
        <v>45</v>
      </c>
      <c r="L12" s="4" t="s">
        <v>22</v>
      </c>
      <c r="M12" s="4" t="s">
        <v>61</v>
      </c>
      <c r="N12" s="4" t="s">
        <v>22</v>
      </c>
      <c r="O12" s="4" t="s">
        <v>62</v>
      </c>
      <c r="P12" s="4" t="s">
        <v>63</v>
      </c>
      <c r="Q12" s="4"/>
    </row>
    <row r="13">
      <c r="A13" s="5">
        <v>52.0</v>
      </c>
      <c r="B13" s="5" t="s">
        <v>41</v>
      </c>
      <c r="C13" s="6" t="s">
        <v>22</v>
      </c>
      <c r="D13" s="6" t="s">
        <v>42</v>
      </c>
      <c r="E13" s="6" t="s">
        <v>18</v>
      </c>
      <c r="F13" s="6" t="s">
        <v>19</v>
      </c>
      <c r="G13" s="6" t="s">
        <v>18</v>
      </c>
      <c r="H13" s="6" t="s">
        <v>18</v>
      </c>
      <c r="I13" s="6" t="s">
        <v>45</v>
      </c>
      <c r="J13" s="6" t="s">
        <v>18</v>
      </c>
      <c r="K13" s="6" t="s">
        <v>45</v>
      </c>
      <c r="L13" s="6" t="s">
        <v>22</v>
      </c>
      <c r="M13" s="6" t="s">
        <v>64</v>
      </c>
      <c r="N13" s="6" t="s">
        <v>22</v>
      </c>
      <c r="O13" s="6" t="s">
        <v>65</v>
      </c>
      <c r="P13" s="6" t="s">
        <v>66</v>
      </c>
      <c r="Q13" s="6"/>
    </row>
    <row r="14">
      <c r="A14" s="3">
        <v>53.0</v>
      </c>
      <c r="B14" s="3" t="s">
        <v>41</v>
      </c>
      <c r="C14" s="4" t="s">
        <v>22</v>
      </c>
      <c r="D14" s="4" t="s">
        <v>42</v>
      </c>
      <c r="E14" s="4" t="s">
        <v>18</v>
      </c>
      <c r="F14" s="4" t="s">
        <v>19</v>
      </c>
      <c r="G14" s="4" t="s">
        <v>18</v>
      </c>
      <c r="H14" s="4" t="s">
        <v>18</v>
      </c>
      <c r="I14" s="4" t="s">
        <v>45</v>
      </c>
      <c r="J14" s="4" t="s">
        <v>18</v>
      </c>
      <c r="K14" s="4" t="s">
        <v>45</v>
      </c>
      <c r="L14" s="4" t="s">
        <v>22</v>
      </c>
      <c r="M14" s="4" t="s">
        <v>67</v>
      </c>
      <c r="N14" s="4" t="s">
        <v>22</v>
      </c>
      <c r="O14" s="4" t="s">
        <v>68</v>
      </c>
      <c r="P14" s="4" t="s">
        <v>69</v>
      </c>
      <c r="Q14" s="4"/>
    </row>
    <row r="15">
      <c r="A15" s="5">
        <v>54.0</v>
      </c>
      <c r="B15" s="5" t="s">
        <v>41</v>
      </c>
      <c r="C15" s="6" t="s">
        <v>22</v>
      </c>
      <c r="D15" s="6" t="s">
        <v>42</v>
      </c>
      <c r="E15" s="6" t="s">
        <v>18</v>
      </c>
      <c r="F15" s="6" t="s">
        <v>19</v>
      </c>
      <c r="G15" s="6" t="s">
        <v>18</v>
      </c>
      <c r="H15" s="6" t="s">
        <v>18</v>
      </c>
      <c r="I15" s="6" t="s">
        <v>45</v>
      </c>
      <c r="J15" s="6" t="s">
        <v>18</v>
      </c>
      <c r="K15" s="6" t="s">
        <v>45</v>
      </c>
      <c r="L15" s="6" t="s">
        <v>22</v>
      </c>
      <c r="M15" s="6" t="s">
        <v>70</v>
      </c>
      <c r="N15" s="6" t="s">
        <v>22</v>
      </c>
      <c r="O15" s="6" t="s">
        <v>71</v>
      </c>
      <c r="P15" s="6" t="s">
        <v>72</v>
      </c>
      <c r="Q15" s="6"/>
    </row>
    <row r="16">
      <c r="A16" s="3">
        <v>55.0</v>
      </c>
      <c r="B16" s="3" t="s">
        <v>41</v>
      </c>
      <c r="C16" s="4" t="s">
        <v>22</v>
      </c>
      <c r="D16" s="4" t="s">
        <v>42</v>
      </c>
      <c r="E16" s="4" t="s">
        <v>18</v>
      </c>
      <c r="F16" s="4" t="s">
        <v>19</v>
      </c>
      <c r="G16" s="4" t="s">
        <v>18</v>
      </c>
      <c r="H16" s="4" t="s">
        <v>18</v>
      </c>
      <c r="I16" s="4" t="s">
        <v>45</v>
      </c>
      <c r="J16" s="4" t="s">
        <v>18</v>
      </c>
      <c r="K16" s="4" t="s">
        <v>45</v>
      </c>
      <c r="L16" s="4" t="s">
        <v>22</v>
      </c>
      <c r="M16" s="4" t="s">
        <v>73</v>
      </c>
      <c r="N16" s="4" t="s">
        <v>22</v>
      </c>
      <c r="O16" s="4" t="s">
        <v>74</v>
      </c>
      <c r="P16" s="4" t="s">
        <v>75</v>
      </c>
      <c r="Q16" s="4"/>
    </row>
    <row r="17">
      <c r="A17" s="5">
        <v>56.0</v>
      </c>
      <c r="B17" s="5" t="s">
        <v>41</v>
      </c>
      <c r="C17" s="6" t="s">
        <v>22</v>
      </c>
      <c r="D17" s="6" t="s">
        <v>42</v>
      </c>
      <c r="E17" s="6" t="s">
        <v>18</v>
      </c>
      <c r="F17" s="6" t="s">
        <v>19</v>
      </c>
      <c r="G17" s="6" t="s">
        <v>18</v>
      </c>
      <c r="H17" s="6" t="s">
        <v>18</v>
      </c>
      <c r="I17" s="6" t="s">
        <v>45</v>
      </c>
      <c r="J17" s="6" t="s">
        <v>18</v>
      </c>
      <c r="K17" s="6" t="s">
        <v>45</v>
      </c>
      <c r="L17" s="6" t="s">
        <v>22</v>
      </c>
      <c r="M17" s="6" t="s">
        <v>76</v>
      </c>
      <c r="N17" s="6" t="s">
        <v>22</v>
      </c>
      <c r="O17" s="6" t="s">
        <v>77</v>
      </c>
      <c r="P17" s="6" t="s">
        <v>78</v>
      </c>
      <c r="Q17" s="6"/>
    </row>
    <row r="18">
      <c r="A18" s="3">
        <v>57.0</v>
      </c>
      <c r="B18" s="3" t="s">
        <v>79</v>
      </c>
      <c r="C18" s="4" t="s">
        <v>22</v>
      </c>
      <c r="D18" s="4" t="s">
        <v>42</v>
      </c>
      <c r="E18" s="4" t="s">
        <v>18</v>
      </c>
      <c r="F18" s="4" t="s">
        <v>19</v>
      </c>
      <c r="G18" s="4" t="s">
        <v>18</v>
      </c>
      <c r="H18" s="4" t="s">
        <v>18</v>
      </c>
      <c r="I18" s="4" t="s">
        <v>80</v>
      </c>
      <c r="J18" s="4" t="s">
        <v>81</v>
      </c>
      <c r="K18" s="4" t="s">
        <v>45</v>
      </c>
      <c r="L18" s="4" t="s">
        <v>22</v>
      </c>
      <c r="M18" s="4" t="s">
        <v>22</v>
      </c>
      <c r="N18" s="4" t="s">
        <v>22</v>
      </c>
      <c r="O18" s="4" t="s">
        <v>82</v>
      </c>
      <c r="P18" s="4" t="s">
        <v>82</v>
      </c>
      <c r="Q18" s="4"/>
    </row>
    <row r="19">
      <c r="A19" s="5">
        <v>58.0</v>
      </c>
      <c r="B19" s="5" t="s">
        <v>79</v>
      </c>
      <c r="C19" s="6" t="s">
        <v>22</v>
      </c>
      <c r="D19" s="6" t="s">
        <v>42</v>
      </c>
      <c r="E19" s="6" t="s">
        <v>18</v>
      </c>
      <c r="F19" s="6" t="s">
        <v>19</v>
      </c>
      <c r="G19" s="6" t="s">
        <v>18</v>
      </c>
      <c r="H19" s="6" t="s">
        <v>18</v>
      </c>
      <c r="I19" s="6" t="s">
        <v>18</v>
      </c>
      <c r="J19" s="6" t="s">
        <v>45</v>
      </c>
      <c r="K19" s="6" t="s">
        <v>45</v>
      </c>
      <c r="L19" s="6" t="s">
        <v>22</v>
      </c>
      <c r="M19" s="6" t="s">
        <v>22</v>
      </c>
      <c r="N19" s="6" t="s">
        <v>22</v>
      </c>
      <c r="O19" s="6" t="s">
        <v>83</v>
      </c>
      <c r="P19" s="6" t="s">
        <v>83</v>
      </c>
      <c r="Q19" s="6"/>
    </row>
    <row r="20">
      <c r="A20" s="3">
        <v>59.0</v>
      </c>
      <c r="B20" s="3" t="s">
        <v>79</v>
      </c>
      <c r="C20" s="4" t="s">
        <v>22</v>
      </c>
      <c r="D20" s="4" t="s">
        <v>42</v>
      </c>
      <c r="E20" s="4" t="s">
        <v>18</v>
      </c>
      <c r="F20" s="4" t="s">
        <v>19</v>
      </c>
      <c r="G20" s="4" t="s">
        <v>18</v>
      </c>
      <c r="H20" s="4" t="s">
        <v>18</v>
      </c>
      <c r="I20" s="4" t="s">
        <v>18</v>
      </c>
      <c r="J20" s="4" t="s">
        <v>45</v>
      </c>
      <c r="K20" s="4" t="s">
        <v>45</v>
      </c>
      <c r="L20" s="4" t="s">
        <v>22</v>
      </c>
      <c r="M20" s="4" t="s">
        <v>22</v>
      </c>
      <c r="N20" s="4" t="s">
        <v>22</v>
      </c>
      <c r="O20" s="4" t="s">
        <v>84</v>
      </c>
      <c r="P20" s="4" t="s">
        <v>84</v>
      </c>
      <c r="Q20" s="4"/>
    </row>
    <row r="21">
      <c r="A21" s="5">
        <v>60.0</v>
      </c>
      <c r="B21" s="5" t="s">
        <v>79</v>
      </c>
      <c r="C21" s="6" t="s">
        <v>22</v>
      </c>
      <c r="D21" s="6" t="s">
        <v>42</v>
      </c>
      <c r="E21" s="6" t="s">
        <v>18</v>
      </c>
      <c r="F21" s="6" t="s">
        <v>19</v>
      </c>
      <c r="G21" s="6" t="s">
        <v>18</v>
      </c>
      <c r="H21" s="6" t="s">
        <v>18</v>
      </c>
      <c r="I21" s="6" t="s">
        <v>18</v>
      </c>
      <c r="J21" s="6" t="s">
        <v>45</v>
      </c>
      <c r="K21" s="6" t="s">
        <v>45</v>
      </c>
      <c r="L21" s="6" t="s">
        <v>22</v>
      </c>
      <c r="M21" s="6" t="s">
        <v>22</v>
      </c>
      <c r="N21" s="6" t="s">
        <v>22</v>
      </c>
      <c r="O21" s="6" t="s">
        <v>85</v>
      </c>
      <c r="P21" s="6" t="s">
        <v>85</v>
      </c>
      <c r="Q21" s="6"/>
    </row>
    <row r="22">
      <c r="A22" s="3">
        <v>61.0</v>
      </c>
      <c r="B22" s="3" t="s">
        <v>79</v>
      </c>
      <c r="C22" s="4" t="s">
        <v>22</v>
      </c>
      <c r="D22" s="4" t="s">
        <v>42</v>
      </c>
      <c r="E22" s="4" t="s">
        <v>18</v>
      </c>
      <c r="F22" s="4" t="s">
        <v>19</v>
      </c>
      <c r="G22" s="4" t="s">
        <v>18</v>
      </c>
      <c r="H22" s="4" t="s">
        <v>18</v>
      </c>
      <c r="I22" s="4" t="s">
        <v>18</v>
      </c>
      <c r="J22" s="4" t="s">
        <v>45</v>
      </c>
      <c r="K22" s="4" t="s">
        <v>45</v>
      </c>
      <c r="L22" s="4" t="s">
        <v>22</v>
      </c>
      <c r="M22" s="4" t="s">
        <v>22</v>
      </c>
      <c r="N22" s="4" t="s">
        <v>22</v>
      </c>
      <c r="O22" s="4" t="s">
        <v>86</v>
      </c>
      <c r="P22" s="4" t="s">
        <v>86</v>
      </c>
      <c r="Q22" s="4"/>
    </row>
    <row r="23">
      <c r="A23" s="5">
        <v>62.0</v>
      </c>
      <c r="B23" s="5" t="s">
        <v>79</v>
      </c>
      <c r="C23" s="6" t="s">
        <v>22</v>
      </c>
      <c r="D23" s="6" t="s">
        <v>42</v>
      </c>
      <c r="E23" s="6" t="s">
        <v>18</v>
      </c>
      <c r="F23" s="6" t="s">
        <v>19</v>
      </c>
      <c r="G23" s="6" t="s">
        <v>18</v>
      </c>
      <c r="H23" s="6" t="s">
        <v>18</v>
      </c>
      <c r="I23" s="6" t="s">
        <v>18</v>
      </c>
      <c r="J23" s="6" t="s">
        <v>45</v>
      </c>
      <c r="K23" s="6" t="s">
        <v>45</v>
      </c>
      <c r="L23" s="6" t="s">
        <v>22</v>
      </c>
      <c r="M23" s="6" t="s">
        <v>22</v>
      </c>
      <c r="N23" s="6" t="s">
        <v>22</v>
      </c>
      <c r="O23" s="6" t="s">
        <v>87</v>
      </c>
      <c r="P23" s="6" t="s">
        <v>87</v>
      </c>
      <c r="Q23" s="6"/>
    </row>
    <row r="24">
      <c r="A24" s="3">
        <v>63.0</v>
      </c>
      <c r="B24" s="3" t="s">
        <v>79</v>
      </c>
      <c r="C24" s="4" t="s">
        <v>22</v>
      </c>
      <c r="D24" s="4" t="s">
        <v>42</v>
      </c>
      <c r="E24" s="4" t="s">
        <v>18</v>
      </c>
      <c r="F24" s="4" t="s">
        <v>19</v>
      </c>
      <c r="G24" s="4" t="s">
        <v>18</v>
      </c>
      <c r="H24" s="4" t="s">
        <v>18</v>
      </c>
      <c r="I24" s="4" t="s">
        <v>18</v>
      </c>
      <c r="J24" s="4" t="s">
        <v>45</v>
      </c>
      <c r="K24" s="4" t="s">
        <v>45</v>
      </c>
      <c r="L24" s="4" t="s">
        <v>22</v>
      </c>
      <c r="M24" s="4" t="s">
        <v>22</v>
      </c>
      <c r="N24" s="4" t="s">
        <v>22</v>
      </c>
      <c r="O24" s="4" t="s">
        <v>88</v>
      </c>
      <c r="P24" s="4" t="s">
        <v>88</v>
      </c>
      <c r="Q24" s="4"/>
    </row>
    <row r="25">
      <c r="A25" s="5">
        <v>64.0</v>
      </c>
      <c r="B25" s="5" t="s">
        <v>79</v>
      </c>
      <c r="C25" s="6" t="s">
        <v>22</v>
      </c>
      <c r="D25" s="6" t="s">
        <v>42</v>
      </c>
      <c r="E25" s="6" t="s">
        <v>18</v>
      </c>
      <c r="F25" s="6" t="s">
        <v>19</v>
      </c>
      <c r="G25" s="6" t="s">
        <v>18</v>
      </c>
      <c r="H25" s="6" t="s">
        <v>18</v>
      </c>
      <c r="I25" s="6" t="s">
        <v>18</v>
      </c>
      <c r="J25" s="6" t="s">
        <v>45</v>
      </c>
      <c r="K25" s="6" t="s">
        <v>45</v>
      </c>
      <c r="L25" s="6" t="s">
        <v>22</v>
      </c>
      <c r="M25" s="6" t="s">
        <v>22</v>
      </c>
      <c r="N25" s="6" t="s">
        <v>22</v>
      </c>
      <c r="O25" s="6" t="s">
        <v>89</v>
      </c>
      <c r="P25" s="6" t="s">
        <v>89</v>
      </c>
      <c r="Q25" s="6"/>
    </row>
    <row r="26">
      <c r="A26" s="3">
        <v>65.0</v>
      </c>
      <c r="B26" s="3" t="s">
        <v>79</v>
      </c>
      <c r="C26" s="4" t="s">
        <v>22</v>
      </c>
      <c r="D26" s="4" t="s">
        <v>42</v>
      </c>
      <c r="E26" s="4" t="s">
        <v>18</v>
      </c>
      <c r="F26" s="4" t="s">
        <v>19</v>
      </c>
      <c r="G26" s="4" t="s">
        <v>18</v>
      </c>
      <c r="H26" s="4" t="s">
        <v>18</v>
      </c>
      <c r="I26" s="4" t="s">
        <v>18</v>
      </c>
      <c r="J26" s="4" t="s">
        <v>45</v>
      </c>
      <c r="K26" s="4" t="s">
        <v>45</v>
      </c>
      <c r="L26" s="4" t="s">
        <v>22</v>
      </c>
      <c r="M26" s="4" t="s">
        <v>22</v>
      </c>
      <c r="N26" s="4" t="s">
        <v>22</v>
      </c>
      <c r="O26" s="4" t="s">
        <v>90</v>
      </c>
      <c r="P26" s="4" t="s">
        <v>90</v>
      </c>
      <c r="Q26" s="4"/>
    </row>
    <row r="27">
      <c r="A27" s="5">
        <v>66.0</v>
      </c>
      <c r="B27" s="5" t="s">
        <v>79</v>
      </c>
      <c r="C27" s="6" t="s">
        <v>22</v>
      </c>
      <c r="D27" s="6" t="s">
        <v>42</v>
      </c>
      <c r="E27" s="6" t="s">
        <v>18</v>
      </c>
      <c r="F27" s="6" t="s">
        <v>19</v>
      </c>
      <c r="G27" s="6" t="s">
        <v>18</v>
      </c>
      <c r="H27" s="6" t="s">
        <v>18</v>
      </c>
      <c r="I27" s="6" t="s">
        <v>18</v>
      </c>
      <c r="J27" s="6" t="s">
        <v>45</v>
      </c>
      <c r="K27" s="6" t="s">
        <v>45</v>
      </c>
      <c r="L27" s="6" t="s">
        <v>22</v>
      </c>
      <c r="M27" s="6" t="s">
        <v>22</v>
      </c>
      <c r="N27" s="6" t="s">
        <v>22</v>
      </c>
      <c r="O27" s="6" t="s">
        <v>91</v>
      </c>
      <c r="P27" s="6" t="s">
        <v>91</v>
      </c>
      <c r="Q27" s="6"/>
    </row>
    <row r="28">
      <c r="A28" s="3">
        <v>67.0</v>
      </c>
      <c r="B28" s="3" t="s">
        <v>79</v>
      </c>
      <c r="C28" s="4" t="s">
        <v>22</v>
      </c>
      <c r="D28" s="4" t="s">
        <v>42</v>
      </c>
      <c r="E28" s="4" t="s">
        <v>92</v>
      </c>
      <c r="F28" s="4" t="s">
        <v>19</v>
      </c>
      <c r="G28" s="4" t="s">
        <v>18</v>
      </c>
      <c r="H28" s="4" t="s">
        <v>18</v>
      </c>
      <c r="I28" s="4" t="s">
        <v>18</v>
      </c>
      <c r="J28" s="4" t="s">
        <v>93</v>
      </c>
      <c r="K28" s="4" t="s">
        <v>93</v>
      </c>
      <c r="L28" s="4" t="s">
        <v>22</v>
      </c>
      <c r="M28" s="4" t="s">
        <v>22</v>
      </c>
      <c r="N28" s="4" t="s">
        <v>22</v>
      </c>
      <c r="O28" s="4" t="s">
        <v>94</v>
      </c>
      <c r="P28" s="4" t="s">
        <v>94</v>
      </c>
      <c r="Q28" s="4"/>
    </row>
    <row r="29">
      <c r="A29" s="5">
        <v>68.0</v>
      </c>
      <c r="B29" s="5" t="s">
        <v>79</v>
      </c>
      <c r="C29" s="6" t="s">
        <v>22</v>
      </c>
      <c r="D29" s="6" t="s">
        <v>42</v>
      </c>
      <c r="E29" s="6" t="s">
        <v>92</v>
      </c>
      <c r="F29" s="6" t="s">
        <v>19</v>
      </c>
      <c r="G29" s="6" t="s">
        <v>18</v>
      </c>
      <c r="H29" s="6" t="s">
        <v>18</v>
      </c>
      <c r="I29" s="6" t="s">
        <v>18</v>
      </c>
      <c r="J29" s="6" t="s">
        <v>93</v>
      </c>
      <c r="K29" s="6" t="s">
        <v>93</v>
      </c>
      <c r="L29" s="6" t="s">
        <v>22</v>
      </c>
      <c r="M29" s="6" t="s">
        <v>22</v>
      </c>
      <c r="N29" s="6" t="s">
        <v>22</v>
      </c>
      <c r="O29" s="6" t="s">
        <v>95</v>
      </c>
      <c r="P29" s="6" t="s">
        <v>95</v>
      </c>
      <c r="Q29" s="6"/>
    </row>
    <row r="30">
      <c r="A30" s="3">
        <v>69.0</v>
      </c>
      <c r="B30" s="3" t="s">
        <v>79</v>
      </c>
      <c r="C30" s="4" t="s">
        <v>22</v>
      </c>
      <c r="D30" s="4" t="s">
        <v>42</v>
      </c>
      <c r="E30" s="4" t="s">
        <v>92</v>
      </c>
      <c r="F30" s="4" t="s">
        <v>19</v>
      </c>
      <c r="G30" s="4" t="s">
        <v>18</v>
      </c>
      <c r="H30" s="4" t="s">
        <v>18</v>
      </c>
      <c r="I30" s="4" t="s">
        <v>18</v>
      </c>
      <c r="J30" s="4" t="s">
        <v>93</v>
      </c>
      <c r="K30" s="4" t="s">
        <v>93</v>
      </c>
      <c r="L30" s="4" t="s">
        <v>22</v>
      </c>
      <c r="M30" s="4" t="s">
        <v>22</v>
      </c>
      <c r="N30" s="4" t="s">
        <v>22</v>
      </c>
      <c r="O30" s="4" t="s">
        <v>96</v>
      </c>
      <c r="P30" s="4" t="s">
        <v>96</v>
      </c>
      <c r="Q30" s="4"/>
    </row>
    <row r="31">
      <c r="A31" s="5">
        <v>70.0</v>
      </c>
      <c r="B31" s="5" t="s">
        <v>79</v>
      </c>
      <c r="C31" s="6" t="s">
        <v>22</v>
      </c>
      <c r="D31" s="6" t="s">
        <v>42</v>
      </c>
      <c r="E31" s="6" t="s">
        <v>92</v>
      </c>
      <c r="F31" s="6" t="s">
        <v>19</v>
      </c>
      <c r="G31" s="6" t="s">
        <v>18</v>
      </c>
      <c r="H31" s="6" t="s">
        <v>18</v>
      </c>
      <c r="I31" s="6" t="s">
        <v>18</v>
      </c>
      <c r="J31" s="6" t="s">
        <v>93</v>
      </c>
      <c r="K31" s="6" t="s">
        <v>93</v>
      </c>
      <c r="L31" s="6" t="s">
        <v>22</v>
      </c>
      <c r="M31" s="6" t="s">
        <v>22</v>
      </c>
      <c r="N31" s="6" t="s">
        <v>22</v>
      </c>
      <c r="O31" s="6" t="s">
        <v>97</v>
      </c>
      <c r="P31" s="6" t="s">
        <v>97</v>
      </c>
      <c r="Q31" s="6"/>
    </row>
    <row r="32">
      <c r="A32" s="3">
        <v>71.0</v>
      </c>
      <c r="B32" s="3" t="s">
        <v>79</v>
      </c>
      <c r="C32" s="4" t="s">
        <v>22</v>
      </c>
      <c r="D32" s="4" t="s">
        <v>42</v>
      </c>
      <c r="E32" s="4" t="s">
        <v>92</v>
      </c>
      <c r="F32" s="4" t="s">
        <v>19</v>
      </c>
      <c r="G32" s="4" t="s">
        <v>18</v>
      </c>
      <c r="H32" s="4" t="s">
        <v>18</v>
      </c>
      <c r="I32" s="4" t="s">
        <v>18</v>
      </c>
      <c r="J32" s="4" t="s">
        <v>93</v>
      </c>
      <c r="K32" s="4" t="s">
        <v>93</v>
      </c>
      <c r="L32" s="4" t="s">
        <v>22</v>
      </c>
      <c r="M32" s="4" t="s">
        <v>22</v>
      </c>
      <c r="N32" s="4" t="s">
        <v>22</v>
      </c>
      <c r="O32" s="4" t="s">
        <v>98</v>
      </c>
      <c r="P32" s="4" t="s">
        <v>98</v>
      </c>
      <c r="Q32" s="4"/>
    </row>
    <row r="33">
      <c r="A33" s="5">
        <v>72.0</v>
      </c>
      <c r="B33" s="5" t="s">
        <v>79</v>
      </c>
      <c r="C33" s="6" t="s">
        <v>22</v>
      </c>
      <c r="D33" s="6" t="s">
        <v>42</v>
      </c>
      <c r="E33" s="6" t="s">
        <v>92</v>
      </c>
      <c r="F33" s="6" t="s">
        <v>19</v>
      </c>
      <c r="G33" s="6" t="s">
        <v>18</v>
      </c>
      <c r="H33" s="6" t="s">
        <v>18</v>
      </c>
      <c r="I33" s="6" t="s">
        <v>18</v>
      </c>
      <c r="J33" s="6" t="s">
        <v>93</v>
      </c>
      <c r="K33" s="6" t="s">
        <v>93</v>
      </c>
      <c r="L33" s="6" t="s">
        <v>22</v>
      </c>
      <c r="M33" s="6" t="s">
        <v>22</v>
      </c>
      <c r="N33" s="6" t="s">
        <v>22</v>
      </c>
      <c r="O33" s="6" t="s">
        <v>99</v>
      </c>
      <c r="P33" s="6" t="s">
        <v>99</v>
      </c>
      <c r="Q33" s="6"/>
    </row>
    <row r="34">
      <c r="A34" s="3">
        <v>73.0</v>
      </c>
      <c r="B34" s="3" t="s">
        <v>79</v>
      </c>
      <c r="C34" s="4" t="s">
        <v>22</v>
      </c>
      <c r="D34" s="4" t="s">
        <v>42</v>
      </c>
      <c r="E34" s="4" t="s">
        <v>92</v>
      </c>
      <c r="F34" s="4" t="s">
        <v>19</v>
      </c>
      <c r="G34" s="4" t="s">
        <v>18</v>
      </c>
      <c r="H34" s="4" t="s">
        <v>18</v>
      </c>
      <c r="I34" s="4" t="s">
        <v>18</v>
      </c>
      <c r="J34" s="4" t="s">
        <v>93</v>
      </c>
      <c r="K34" s="4" t="s">
        <v>93</v>
      </c>
      <c r="L34" s="4" t="s">
        <v>22</v>
      </c>
      <c r="M34" s="4" t="s">
        <v>22</v>
      </c>
      <c r="N34" s="4" t="s">
        <v>22</v>
      </c>
      <c r="O34" s="4" t="s">
        <v>100</v>
      </c>
      <c r="P34" s="4" t="s">
        <v>100</v>
      </c>
      <c r="Q34" s="4"/>
    </row>
    <row r="35">
      <c r="A35" s="5">
        <v>74.0</v>
      </c>
      <c r="B35" s="5" t="s">
        <v>79</v>
      </c>
      <c r="C35" s="6" t="s">
        <v>22</v>
      </c>
      <c r="D35" s="6" t="s">
        <v>42</v>
      </c>
      <c r="E35" s="6" t="s">
        <v>92</v>
      </c>
      <c r="F35" s="6" t="s">
        <v>19</v>
      </c>
      <c r="G35" s="6" t="s">
        <v>18</v>
      </c>
      <c r="H35" s="6" t="s">
        <v>18</v>
      </c>
      <c r="I35" s="6" t="s">
        <v>18</v>
      </c>
      <c r="J35" s="6" t="s">
        <v>93</v>
      </c>
      <c r="K35" s="6" t="s">
        <v>93</v>
      </c>
      <c r="L35" s="6" t="s">
        <v>22</v>
      </c>
      <c r="M35" s="6" t="s">
        <v>22</v>
      </c>
      <c r="N35" s="6" t="s">
        <v>22</v>
      </c>
      <c r="O35" s="6" t="s">
        <v>101</v>
      </c>
      <c r="P35" s="6" t="s">
        <v>101</v>
      </c>
      <c r="Q35" s="6"/>
    </row>
    <row r="36">
      <c r="A36" s="3">
        <v>75.0</v>
      </c>
      <c r="B36" s="3" t="s">
        <v>79</v>
      </c>
      <c r="C36" s="4" t="s">
        <v>22</v>
      </c>
      <c r="D36" s="4" t="s">
        <v>42</v>
      </c>
      <c r="E36" s="4" t="s">
        <v>92</v>
      </c>
      <c r="F36" s="4" t="s">
        <v>19</v>
      </c>
      <c r="G36" s="4" t="s">
        <v>18</v>
      </c>
      <c r="H36" s="4" t="s">
        <v>18</v>
      </c>
      <c r="I36" s="4" t="s">
        <v>18</v>
      </c>
      <c r="J36" s="4" t="s">
        <v>93</v>
      </c>
      <c r="K36" s="4" t="s">
        <v>93</v>
      </c>
      <c r="L36" s="4" t="s">
        <v>22</v>
      </c>
      <c r="M36" s="4" t="s">
        <v>22</v>
      </c>
      <c r="N36" s="4" t="s">
        <v>22</v>
      </c>
      <c r="O36" s="4" t="s">
        <v>102</v>
      </c>
      <c r="P36" s="4" t="s">
        <v>102</v>
      </c>
      <c r="Q36" s="4"/>
    </row>
    <row r="37">
      <c r="A37" s="5">
        <v>76.0</v>
      </c>
      <c r="B37" s="5" t="s">
        <v>79</v>
      </c>
      <c r="C37" s="6" t="s">
        <v>22</v>
      </c>
      <c r="D37" s="6" t="s">
        <v>42</v>
      </c>
      <c r="E37" s="6" t="s">
        <v>92</v>
      </c>
      <c r="F37" s="6" t="s">
        <v>19</v>
      </c>
      <c r="G37" s="6" t="s">
        <v>18</v>
      </c>
      <c r="H37" s="6" t="s">
        <v>18</v>
      </c>
      <c r="I37" s="6" t="s">
        <v>18</v>
      </c>
      <c r="J37" s="6" t="s">
        <v>93</v>
      </c>
      <c r="K37" s="6" t="s">
        <v>93</v>
      </c>
      <c r="L37" s="6" t="s">
        <v>22</v>
      </c>
      <c r="M37" s="6" t="s">
        <v>22</v>
      </c>
      <c r="N37" s="6" t="s">
        <v>22</v>
      </c>
      <c r="O37" s="6" t="s">
        <v>103</v>
      </c>
      <c r="P37" s="6" t="s">
        <v>103</v>
      </c>
      <c r="Q37" s="6"/>
    </row>
    <row r="38">
      <c r="A38" s="3">
        <v>77.0</v>
      </c>
      <c r="B38" s="3" t="s">
        <v>79</v>
      </c>
      <c r="C38" s="4" t="s">
        <v>22</v>
      </c>
      <c r="D38" s="4" t="s">
        <v>42</v>
      </c>
      <c r="E38" s="4" t="s">
        <v>92</v>
      </c>
      <c r="F38" s="4" t="s">
        <v>19</v>
      </c>
      <c r="G38" s="4" t="s">
        <v>18</v>
      </c>
      <c r="H38" s="4" t="s">
        <v>18</v>
      </c>
      <c r="I38" s="4" t="s">
        <v>18</v>
      </c>
      <c r="J38" s="4" t="s">
        <v>93</v>
      </c>
      <c r="K38" s="4" t="s">
        <v>93</v>
      </c>
      <c r="L38" s="4" t="s">
        <v>22</v>
      </c>
      <c r="M38" s="4" t="s">
        <v>22</v>
      </c>
      <c r="N38" s="4" t="s">
        <v>22</v>
      </c>
      <c r="O38" s="4" t="s">
        <v>104</v>
      </c>
      <c r="P38" s="4" t="s">
        <v>104</v>
      </c>
      <c r="Q38" s="4"/>
    </row>
    <row r="39">
      <c r="A39" s="5">
        <v>78.0</v>
      </c>
      <c r="B39" s="5" t="s">
        <v>79</v>
      </c>
      <c r="C39" s="6" t="s">
        <v>22</v>
      </c>
      <c r="D39" s="6" t="s">
        <v>42</v>
      </c>
      <c r="E39" s="6" t="s">
        <v>92</v>
      </c>
      <c r="F39" s="6" t="s">
        <v>19</v>
      </c>
      <c r="G39" s="6" t="s">
        <v>18</v>
      </c>
      <c r="H39" s="6" t="s">
        <v>18</v>
      </c>
      <c r="I39" s="6" t="s">
        <v>18</v>
      </c>
      <c r="J39" s="6" t="s">
        <v>93</v>
      </c>
      <c r="K39" s="6" t="s">
        <v>93</v>
      </c>
      <c r="L39" s="6" t="s">
        <v>22</v>
      </c>
      <c r="M39" s="6" t="s">
        <v>22</v>
      </c>
      <c r="N39" s="6" t="s">
        <v>22</v>
      </c>
      <c r="O39" s="6" t="s">
        <v>105</v>
      </c>
      <c r="P39" s="6" t="s">
        <v>105</v>
      </c>
      <c r="Q39" s="6"/>
    </row>
    <row r="40">
      <c r="A40" s="3">
        <v>79.0</v>
      </c>
      <c r="B40" s="3" t="s">
        <v>79</v>
      </c>
      <c r="C40" s="4" t="s">
        <v>22</v>
      </c>
      <c r="D40" s="4" t="s">
        <v>42</v>
      </c>
      <c r="E40" s="4" t="s">
        <v>92</v>
      </c>
      <c r="F40" s="4" t="s">
        <v>19</v>
      </c>
      <c r="G40" s="4" t="s">
        <v>18</v>
      </c>
      <c r="H40" s="4" t="s">
        <v>18</v>
      </c>
      <c r="I40" s="4" t="s">
        <v>18</v>
      </c>
      <c r="J40" s="4" t="s">
        <v>93</v>
      </c>
      <c r="K40" s="4" t="s">
        <v>93</v>
      </c>
      <c r="L40" s="4" t="s">
        <v>22</v>
      </c>
      <c r="M40" s="4" t="s">
        <v>22</v>
      </c>
      <c r="N40" s="4" t="s">
        <v>22</v>
      </c>
      <c r="O40" s="4" t="s">
        <v>106</v>
      </c>
      <c r="P40" s="4" t="s">
        <v>106</v>
      </c>
      <c r="Q40" s="4"/>
    </row>
    <row r="41">
      <c r="A41" s="5">
        <v>80.0</v>
      </c>
      <c r="B41" s="5" t="s">
        <v>79</v>
      </c>
      <c r="C41" s="6" t="s">
        <v>22</v>
      </c>
      <c r="D41" s="6" t="s">
        <v>42</v>
      </c>
      <c r="E41" s="6" t="s">
        <v>92</v>
      </c>
      <c r="F41" s="6" t="s">
        <v>19</v>
      </c>
      <c r="G41" s="6" t="s">
        <v>18</v>
      </c>
      <c r="H41" s="6" t="s">
        <v>18</v>
      </c>
      <c r="I41" s="6" t="s">
        <v>18</v>
      </c>
      <c r="J41" s="6" t="s">
        <v>93</v>
      </c>
      <c r="K41" s="6" t="s">
        <v>93</v>
      </c>
      <c r="L41" s="6" t="s">
        <v>22</v>
      </c>
      <c r="M41" s="6" t="s">
        <v>22</v>
      </c>
      <c r="N41" s="6" t="s">
        <v>22</v>
      </c>
      <c r="O41" s="6" t="s">
        <v>107</v>
      </c>
      <c r="P41" s="6" t="s">
        <v>107</v>
      </c>
      <c r="Q41" s="6"/>
    </row>
    <row r="42">
      <c r="A42" s="3">
        <v>81.0</v>
      </c>
      <c r="B42" s="3" t="s">
        <v>79</v>
      </c>
      <c r="C42" s="4" t="s">
        <v>22</v>
      </c>
      <c r="D42" s="4" t="s">
        <v>42</v>
      </c>
      <c r="E42" s="4" t="s">
        <v>92</v>
      </c>
      <c r="F42" s="4" t="s">
        <v>19</v>
      </c>
      <c r="G42" s="4" t="s">
        <v>18</v>
      </c>
      <c r="H42" s="4" t="s">
        <v>18</v>
      </c>
      <c r="I42" s="4" t="s">
        <v>18</v>
      </c>
      <c r="J42" s="4" t="s">
        <v>93</v>
      </c>
      <c r="K42" s="4" t="s">
        <v>93</v>
      </c>
      <c r="L42" s="4" t="s">
        <v>22</v>
      </c>
      <c r="M42" s="4" t="s">
        <v>22</v>
      </c>
      <c r="N42" s="4" t="s">
        <v>22</v>
      </c>
      <c r="O42" s="4" t="s">
        <v>108</v>
      </c>
      <c r="P42" s="4" t="s">
        <v>108</v>
      </c>
      <c r="Q42" s="4"/>
    </row>
    <row r="43">
      <c r="A43" s="5">
        <v>82.0</v>
      </c>
      <c r="B43" s="5" t="s">
        <v>79</v>
      </c>
      <c r="C43" s="6" t="s">
        <v>22</v>
      </c>
      <c r="D43" s="6" t="s">
        <v>42</v>
      </c>
      <c r="E43" s="6" t="s">
        <v>92</v>
      </c>
      <c r="F43" s="6" t="s">
        <v>19</v>
      </c>
      <c r="G43" s="6" t="s">
        <v>18</v>
      </c>
      <c r="H43" s="6" t="s">
        <v>18</v>
      </c>
      <c r="I43" s="6" t="s">
        <v>18</v>
      </c>
      <c r="J43" s="6" t="s">
        <v>93</v>
      </c>
      <c r="K43" s="6" t="s">
        <v>93</v>
      </c>
      <c r="L43" s="6" t="s">
        <v>22</v>
      </c>
      <c r="M43" s="6" t="s">
        <v>22</v>
      </c>
      <c r="N43" s="6" t="s">
        <v>22</v>
      </c>
      <c r="O43" s="6" t="s">
        <v>109</v>
      </c>
      <c r="P43" s="6" t="s">
        <v>109</v>
      </c>
      <c r="Q43" s="6"/>
    </row>
    <row r="44">
      <c r="A44" s="3">
        <v>83.0</v>
      </c>
      <c r="B44" s="3" t="s">
        <v>79</v>
      </c>
      <c r="C44" s="4" t="s">
        <v>22</v>
      </c>
      <c r="D44" s="4" t="s">
        <v>42</v>
      </c>
      <c r="E44" s="4" t="s">
        <v>92</v>
      </c>
      <c r="F44" s="4" t="s">
        <v>19</v>
      </c>
      <c r="G44" s="4" t="s">
        <v>18</v>
      </c>
      <c r="H44" s="4" t="s">
        <v>18</v>
      </c>
      <c r="I44" s="4" t="s">
        <v>18</v>
      </c>
      <c r="J44" s="4" t="s">
        <v>93</v>
      </c>
      <c r="K44" s="4" t="s">
        <v>93</v>
      </c>
      <c r="L44" s="4" t="s">
        <v>22</v>
      </c>
      <c r="M44" s="4" t="s">
        <v>22</v>
      </c>
      <c r="N44" s="4" t="s">
        <v>22</v>
      </c>
      <c r="O44" s="4" t="s">
        <v>110</v>
      </c>
      <c r="P44" s="4" t="s">
        <v>110</v>
      </c>
      <c r="Q44" s="4"/>
    </row>
    <row r="45">
      <c r="A45" s="5">
        <v>84.0</v>
      </c>
      <c r="B45" s="5" t="s">
        <v>79</v>
      </c>
      <c r="C45" s="6" t="s">
        <v>22</v>
      </c>
      <c r="D45" s="6" t="s">
        <v>42</v>
      </c>
      <c r="E45" s="6" t="s">
        <v>92</v>
      </c>
      <c r="F45" s="6" t="s">
        <v>19</v>
      </c>
      <c r="G45" s="6" t="s">
        <v>18</v>
      </c>
      <c r="H45" s="6" t="s">
        <v>18</v>
      </c>
      <c r="I45" s="6" t="s">
        <v>18</v>
      </c>
      <c r="J45" s="6" t="s">
        <v>93</v>
      </c>
      <c r="K45" s="6" t="s">
        <v>93</v>
      </c>
      <c r="L45" s="6" t="s">
        <v>22</v>
      </c>
      <c r="M45" s="6" t="s">
        <v>22</v>
      </c>
      <c r="N45" s="6" t="s">
        <v>22</v>
      </c>
      <c r="O45" s="6" t="s">
        <v>111</v>
      </c>
      <c r="P45" s="6" t="s">
        <v>111</v>
      </c>
      <c r="Q45" s="6"/>
    </row>
    <row r="46">
      <c r="A46" s="3">
        <v>85.0</v>
      </c>
      <c r="B46" s="3" t="s">
        <v>79</v>
      </c>
      <c r="C46" s="4" t="s">
        <v>22</v>
      </c>
      <c r="D46" s="4" t="s">
        <v>42</v>
      </c>
      <c r="E46" s="4" t="s">
        <v>92</v>
      </c>
      <c r="F46" s="4" t="s">
        <v>19</v>
      </c>
      <c r="G46" s="4" t="s">
        <v>18</v>
      </c>
      <c r="H46" s="4" t="s">
        <v>18</v>
      </c>
      <c r="I46" s="4" t="s">
        <v>18</v>
      </c>
      <c r="J46" s="4" t="s">
        <v>93</v>
      </c>
      <c r="K46" s="4" t="s">
        <v>93</v>
      </c>
      <c r="L46" s="4" t="s">
        <v>22</v>
      </c>
      <c r="M46" s="4" t="s">
        <v>22</v>
      </c>
      <c r="N46" s="4" t="s">
        <v>22</v>
      </c>
      <c r="O46" s="4" t="s">
        <v>112</v>
      </c>
      <c r="P46" s="4" t="s">
        <v>112</v>
      </c>
      <c r="Q46" s="4"/>
    </row>
    <row r="47">
      <c r="A47" s="5">
        <v>86.0</v>
      </c>
      <c r="B47" s="5" t="s">
        <v>79</v>
      </c>
      <c r="C47" s="6" t="s">
        <v>22</v>
      </c>
      <c r="D47" s="6" t="s">
        <v>42</v>
      </c>
      <c r="E47" s="6" t="s">
        <v>92</v>
      </c>
      <c r="F47" s="6" t="s">
        <v>19</v>
      </c>
      <c r="G47" s="6" t="s">
        <v>18</v>
      </c>
      <c r="H47" s="6" t="s">
        <v>18</v>
      </c>
      <c r="I47" s="6" t="s">
        <v>18</v>
      </c>
      <c r="J47" s="6" t="s">
        <v>93</v>
      </c>
      <c r="K47" s="6" t="s">
        <v>93</v>
      </c>
      <c r="L47" s="6" t="s">
        <v>22</v>
      </c>
      <c r="M47" s="6" t="s">
        <v>22</v>
      </c>
      <c r="N47" s="6" t="s">
        <v>22</v>
      </c>
      <c r="O47" s="6" t="s">
        <v>113</v>
      </c>
      <c r="P47" s="6" t="s">
        <v>113</v>
      </c>
      <c r="Q47" s="6"/>
    </row>
    <row r="48">
      <c r="A48" s="3">
        <v>87.0</v>
      </c>
      <c r="B48" s="3" t="s">
        <v>79</v>
      </c>
      <c r="C48" s="4" t="s">
        <v>22</v>
      </c>
      <c r="D48" s="4" t="s">
        <v>42</v>
      </c>
      <c r="E48" s="4" t="s">
        <v>92</v>
      </c>
      <c r="F48" s="4" t="s">
        <v>19</v>
      </c>
      <c r="G48" s="4" t="s">
        <v>18</v>
      </c>
      <c r="H48" s="4" t="s">
        <v>18</v>
      </c>
      <c r="I48" s="4" t="s">
        <v>18</v>
      </c>
      <c r="J48" s="4" t="s">
        <v>93</v>
      </c>
      <c r="K48" s="4" t="s">
        <v>93</v>
      </c>
      <c r="L48" s="4" t="s">
        <v>22</v>
      </c>
      <c r="M48" s="4" t="s">
        <v>22</v>
      </c>
      <c r="N48" s="4" t="s">
        <v>22</v>
      </c>
      <c r="O48" s="4" t="s">
        <v>114</v>
      </c>
      <c r="P48" s="4" t="s">
        <v>114</v>
      </c>
      <c r="Q48" s="4"/>
    </row>
    <row r="49">
      <c r="A49" s="5">
        <v>88.0</v>
      </c>
      <c r="B49" s="5" t="s">
        <v>79</v>
      </c>
      <c r="C49" s="6" t="s">
        <v>22</v>
      </c>
      <c r="D49" s="6" t="s">
        <v>42</v>
      </c>
      <c r="E49" s="6" t="s">
        <v>92</v>
      </c>
      <c r="F49" s="6" t="s">
        <v>19</v>
      </c>
      <c r="G49" s="6" t="s">
        <v>18</v>
      </c>
      <c r="H49" s="6" t="s">
        <v>18</v>
      </c>
      <c r="I49" s="6" t="s">
        <v>18</v>
      </c>
      <c r="J49" s="6" t="s">
        <v>93</v>
      </c>
      <c r="K49" s="6" t="s">
        <v>93</v>
      </c>
      <c r="L49" s="6" t="s">
        <v>22</v>
      </c>
      <c r="M49" s="6" t="s">
        <v>22</v>
      </c>
      <c r="N49" s="6" t="s">
        <v>22</v>
      </c>
      <c r="O49" s="6" t="s">
        <v>115</v>
      </c>
      <c r="P49" s="6" t="s">
        <v>115</v>
      </c>
      <c r="Q49" s="6"/>
    </row>
    <row r="50">
      <c r="A50" s="3">
        <v>89.0</v>
      </c>
      <c r="B50" s="3" t="s">
        <v>79</v>
      </c>
      <c r="C50" s="4" t="s">
        <v>22</v>
      </c>
      <c r="D50" s="4" t="s">
        <v>42</v>
      </c>
      <c r="E50" s="4" t="s">
        <v>92</v>
      </c>
      <c r="F50" s="4" t="s">
        <v>19</v>
      </c>
      <c r="G50" s="4" t="s">
        <v>18</v>
      </c>
      <c r="H50" s="4" t="s">
        <v>18</v>
      </c>
      <c r="I50" s="4" t="s">
        <v>18</v>
      </c>
      <c r="J50" s="4" t="s">
        <v>93</v>
      </c>
      <c r="K50" s="4" t="s">
        <v>93</v>
      </c>
      <c r="L50" s="4" t="s">
        <v>22</v>
      </c>
      <c r="M50" s="4" t="s">
        <v>22</v>
      </c>
      <c r="N50" s="4" t="s">
        <v>22</v>
      </c>
      <c r="O50" s="4" t="s">
        <v>116</v>
      </c>
      <c r="P50" s="4" t="s">
        <v>116</v>
      </c>
      <c r="Q50" s="4"/>
    </row>
    <row r="51">
      <c r="A51" s="5">
        <v>90.0</v>
      </c>
      <c r="B51" s="5" t="s">
        <v>79</v>
      </c>
      <c r="C51" s="6" t="s">
        <v>22</v>
      </c>
      <c r="D51" s="6" t="s">
        <v>42</v>
      </c>
      <c r="E51" s="6" t="s">
        <v>92</v>
      </c>
      <c r="F51" s="6" t="s">
        <v>19</v>
      </c>
      <c r="G51" s="6" t="s">
        <v>18</v>
      </c>
      <c r="H51" s="6" t="s">
        <v>18</v>
      </c>
      <c r="I51" s="6" t="s">
        <v>18</v>
      </c>
      <c r="J51" s="6" t="s">
        <v>93</v>
      </c>
      <c r="K51" s="6" t="s">
        <v>93</v>
      </c>
      <c r="L51" s="6" t="s">
        <v>22</v>
      </c>
      <c r="M51" s="6" t="s">
        <v>22</v>
      </c>
      <c r="N51" s="6" t="s">
        <v>22</v>
      </c>
      <c r="O51" s="6" t="s">
        <v>117</v>
      </c>
      <c r="P51" s="6" t="s">
        <v>117</v>
      </c>
      <c r="Q51" s="6"/>
    </row>
    <row r="52">
      <c r="A52" s="3">
        <v>90.0</v>
      </c>
      <c r="B52" s="3" t="s">
        <v>79</v>
      </c>
      <c r="C52" s="4" t="s">
        <v>22</v>
      </c>
      <c r="D52" s="4" t="s">
        <v>42</v>
      </c>
      <c r="E52" s="4" t="s">
        <v>92</v>
      </c>
      <c r="F52" s="4" t="s">
        <v>118</v>
      </c>
      <c r="G52" s="4" t="s">
        <v>18</v>
      </c>
      <c r="H52" s="4" t="s">
        <v>18</v>
      </c>
      <c r="I52" s="4" t="s">
        <v>18</v>
      </c>
      <c r="J52" s="4" t="s">
        <v>119</v>
      </c>
      <c r="K52" s="4" t="s">
        <v>119</v>
      </c>
      <c r="L52" s="4" t="s">
        <v>22</v>
      </c>
      <c r="M52" s="4" t="s">
        <v>22</v>
      </c>
      <c r="N52" s="4" t="s">
        <v>22</v>
      </c>
      <c r="O52" s="4" t="s">
        <v>120</v>
      </c>
      <c r="P52" s="4" t="s">
        <v>120</v>
      </c>
      <c r="Q5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121</v>
      </c>
      <c r="M1" s="2" t="s">
        <v>10</v>
      </c>
      <c r="N1" s="2" t="s">
        <v>11</v>
      </c>
      <c r="O1" s="2" t="s">
        <v>12</v>
      </c>
      <c r="P1" s="2" t="s">
        <v>14</v>
      </c>
      <c r="Q1" s="2" t="s">
        <v>15</v>
      </c>
    </row>
    <row r="2">
      <c r="A2" s="3">
        <v>41.0</v>
      </c>
      <c r="B2" s="3" t="s">
        <v>16</v>
      </c>
      <c r="C2" s="4" t="s">
        <v>122</v>
      </c>
      <c r="D2" s="4" t="s">
        <v>18</v>
      </c>
      <c r="E2" s="4"/>
      <c r="F2" s="4" t="s">
        <v>18</v>
      </c>
      <c r="G2" s="4" t="s">
        <v>19</v>
      </c>
      <c r="H2" s="4" t="s">
        <v>18</v>
      </c>
      <c r="I2" s="4" t="s">
        <v>18</v>
      </c>
      <c r="J2" s="4" t="s">
        <v>18</v>
      </c>
      <c r="K2" s="4" t="s">
        <v>18</v>
      </c>
      <c r="L2" s="4"/>
      <c r="M2" s="4" t="s">
        <v>18</v>
      </c>
      <c r="N2" s="4" t="s">
        <v>20</v>
      </c>
      <c r="O2" s="4" t="s">
        <v>123</v>
      </c>
      <c r="P2" s="4" t="s">
        <v>23</v>
      </c>
      <c r="Q2" s="4" t="s">
        <v>124</v>
      </c>
    </row>
    <row r="3">
      <c r="A3" s="5">
        <v>42.0</v>
      </c>
      <c r="B3" s="5" t="s">
        <v>16</v>
      </c>
      <c r="C3" s="6" t="s">
        <v>122</v>
      </c>
      <c r="D3" s="6" t="s">
        <v>18</v>
      </c>
      <c r="E3" s="6"/>
      <c r="F3" s="6" t="s">
        <v>18</v>
      </c>
      <c r="G3" s="6" t="s">
        <v>19</v>
      </c>
      <c r="H3" s="6" t="s">
        <v>18</v>
      </c>
      <c r="I3" s="6" t="s">
        <v>18</v>
      </c>
      <c r="J3" s="6" t="s">
        <v>18</v>
      </c>
      <c r="K3" s="6" t="s">
        <v>18</v>
      </c>
      <c r="L3" s="6"/>
      <c r="M3" s="6" t="s">
        <v>18</v>
      </c>
      <c r="N3" s="6" t="s">
        <v>25</v>
      </c>
      <c r="O3" s="6" t="s">
        <v>125</v>
      </c>
      <c r="P3" s="6" t="s">
        <v>27</v>
      </c>
      <c r="Q3" s="6" t="s">
        <v>126</v>
      </c>
    </row>
    <row r="4">
      <c r="A4" s="3">
        <v>43.0</v>
      </c>
      <c r="B4" s="3" t="s">
        <v>16</v>
      </c>
      <c r="C4" s="4" t="s">
        <v>122</v>
      </c>
      <c r="D4" s="4" t="s">
        <v>18</v>
      </c>
      <c r="E4" s="4"/>
      <c r="F4" s="4" t="s">
        <v>18</v>
      </c>
      <c r="G4" s="4" t="s">
        <v>19</v>
      </c>
      <c r="H4" s="4" t="s">
        <v>18</v>
      </c>
      <c r="I4" s="4" t="s">
        <v>18</v>
      </c>
      <c r="J4" s="4" t="s">
        <v>18</v>
      </c>
      <c r="K4" s="4" t="s">
        <v>18</v>
      </c>
      <c r="L4" s="4"/>
      <c r="M4" s="4" t="s">
        <v>18</v>
      </c>
      <c r="N4" s="4" t="s">
        <v>29</v>
      </c>
      <c r="O4" s="4" t="s">
        <v>127</v>
      </c>
      <c r="P4" s="4" t="s">
        <v>31</v>
      </c>
      <c r="Q4" s="4" t="s">
        <v>128</v>
      </c>
    </row>
    <row r="5">
      <c r="A5" s="5">
        <v>44.0</v>
      </c>
      <c r="B5" s="5" t="s">
        <v>16</v>
      </c>
      <c r="C5" s="6" t="s">
        <v>122</v>
      </c>
      <c r="D5" s="6" t="s">
        <v>18</v>
      </c>
      <c r="E5" s="6"/>
      <c r="F5" s="6" t="s">
        <v>18</v>
      </c>
      <c r="G5" s="6" t="s">
        <v>19</v>
      </c>
      <c r="H5" s="6" t="s">
        <v>18</v>
      </c>
      <c r="I5" s="6" t="s">
        <v>18</v>
      </c>
      <c r="J5" s="6" t="s">
        <v>18</v>
      </c>
      <c r="K5" s="6" t="s">
        <v>18</v>
      </c>
      <c r="L5" s="6"/>
      <c r="M5" s="6" t="s">
        <v>18</v>
      </c>
      <c r="N5" s="6" t="s">
        <v>33</v>
      </c>
      <c r="O5" s="6" t="s">
        <v>129</v>
      </c>
      <c r="P5" s="6" t="s">
        <v>35</v>
      </c>
      <c r="Q5" s="6" t="s">
        <v>130</v>
      </c>
    </row>
    <row r="6">
      <c r="A6" s="3">
        <v>45.0</v>
      </c>
      <c r="B6" s="3" t="s">
        <v>16</v>
      </c>
      <c r="C6" s="4" t="s">
        <v>122</v>
      </c>
      <c r="D6" s="4" t="s">
        <v>18</v>
      </c>
      <c r="E6" s="4"/>
      <c r="F6" s="4" t="s">
        <v>18</v>
      </c>
      <c r="G6" s="4" t="s">
        <v>19</v>
      </c>
      <c r="H6" s="4" t="s">
        <v>18</v>
      </c>
      <c r="I6" s="4" t="s">
        <v>18</v>
      </c>
      <c r="J6" s="4" t="s">
        <v>18</v>
      </c>
      <c r="K6" s="4" t="s">
        <v>18</v>
      </c>
      <c r="L6" s="4"/>
      <c r="M6" s="4" t="s">
        <v>18</v>
      </c>
      <c r="N6" s="4" t="s">
        <v>37</v>
      </c>
      <c r="O6" s="4" t="s">
        <v>131</v>
      </c>
      <c r="P6" s="4" t="s">
        <v>39</v>
      </c>
      <c r="Q6" s="4" t="s">
        <v>132</v>
      </c>
    </row>
    <row r="7">
      <c r="A7" s="5">
        <v>46.0</v>
      </c>
      <c r="B7" s="5" t="s">
        <v>16</v>
      </c>
      <c r="C7" s="6" t="s">
        <v>122</v>
      </c>
      <c r="D7" s="6" t="s">
        <v>18</v>
      </c>
      <c r="E7" s="6"/>
      <c r="F7" s="6" t="s">
        <v>18</v>
      </c>
      <c r="G7" s="6" t="s">
        <v>19</v>
      </c>
      <c r="H7" s="6" t="s">
        <v>18</v>
      </c>
      <c r="I7" s="6" t="s">
        <v>18</v>
      </c>
      <c r="J7" s="6" t="s">
        <v>18</v>
      </c>
      <c r="K7" s="6" t="s">
        <v>18</v>
      </c>
      <c r="L7" s="6"/>
      <c r="M7" s="6" t="s">
        <v>18</v>
      </c>
      <c r="N7" s="6" t="s">
        <v>43</v>
      </c>
      <c r="O7" s="6" t="s">
        <v>133</v>
      </c>
      <c r="P7" s="6" t="s">
        <v>134</v>
      </c>
      <c r="Q7" s="6" t="s">
        <v>135</v>
      </c>
    </row>
    <row r="8">
      <c r="A8" s="3">
        <v>47.0</v>
      </c>
      <c r="B8" s="3" t="s">
        <v>16</v>
      </c>
      <c r="C8" s="4" t="s">
        <v>122</v>
      </c>
      <c r="D8" s="4" t="s">
        <v>18</v>
      </c>
      <c r="E8" s="4"/>
      <c r="F8" s="4" t="s">
        <v>18</v>
      </c>
      <c r="G8" s="4" t="s">
        <v>19</v>
      </c>
      <c r="H8" s="4" t="s">
        <v>18</v>
      </c>
      <c r="I8" s="4" t="s">
        <v>18</v>
      </c>
      <c r="J8" s="4" t="s">
        <v>18</v>
      </c>
      <c r="K8" s="4" t="s">
        <v>18</v>
      </c>
      <c r="L8" s="4"/>
      <c r="M8" s="4" t="s">
        <v>18</v>
      </c>
      <c r="N8" s="4" t="s">
        <v>136</v>
      </c>
      <c r="O8" s="4" t="s">
        <v>137</v>
      </c>
      <c r="P8" s="4" t="s">
        <v>138</v>
      </c>
      <c r="Q8" s="4" t="s">
        <v>139</v>
      </c>
    </row>
    <row r="9">
      <c r="A9" s="5">
        <v>48.0</v>
      </c>
      <c r="B9" s="5" t="s">
        <v>16</v>
      </c>
      <c r="C9" s="6" t="s">
        <v>122</v>
      </c>
      <c r="D9" s="6" t="s">
        <v>18</v>
      </c>
      <c r="E9" s="6"/>
      <c r="F9" s="6" t="s">
        <v>18</v>
      </c>
      <c r="G9" s="6" t="s">
        <v>19</v>
      </c>
      <c r="H9" s="6" t="s">
        <v>18</v>
      </c>
      <c r="I9" s="6" t="s">
        <v>18</v>
      </c>
      <c r="J9" s="6" t="s">
        <v>18</v>
      </c>
      <c r="K9" s="6" t="s">
        <v>18</v>
      </c>
      <c r="L9" s="6"/>
      <c r="M9" s="6" t="s">
        <v>18</v>
      </c>
      <c r="N9" s="6" t="s">
        <v>140</v>
      </c>
      <c r="O9" s="6" t="s">
        <v>141</v>
      </c>
      <c r="P9" s="6" t="s">
        <v>142</v>
      </c>
      <c r="Q9" s="6" t="s">
        <v>143</v>
      </c>
    </row>
    <row r="10">
      <c r="A10" s="3">
        <v>49.0</v>
      </c>
      <c r="B10" s="3" t="s">
        <v>16</v>
      </c>
      <c r="C10" s="4" t="s">
        <v>122</v>
      </c>
      <c r="D10" s="4" t="s">
        <v>18</v>
      </c>
      <c r="E10" s="4"/>
      <c r="F10" s="4" t="s">
        <v>18</v>
      </c>
      <c r="G10" s="4" t="s">
        <v>19</v>
      </c>
      <c r="H10" s="4" t="s">
        <v>18</v>
      </c>
      <c r="I10" s="4" t="s">
        <v>18</v>
      </c>
      <c r="J10" s="4" t="s">
        <v>18</v>
      </c>
      <c r="K10" s="4" t="s">
        <v>18</v>
      </c>
      <c r="L10" s="4"/>
      <c r="M10" s="4" t="s">
        <v>18</v>
      </c>
      <c r="N10" s="4" t="s">
        <v>144</v>
      </c>
      <c r="O10" s="4" t="s">
        <v>145</v>
      </c>
      <c r="P10" s="4" t="s">
        <v>146</v>
      </c>
      <c r="Q10" s="4" t="s">
        <v>147</v>
      </c>
    </row>
    <row r="11">
      <c r="A11" s="5">
        <v>50.0</v>
      </c>
      <c r="B11" s="5" t="s">
        <v>16</v>
      </c>
      <c r="C11" s="6" t="s">
        <v>122</v>
      </c>
      <c r="D11" s="6" t="s">
        <v>18</v>
      </c>
      <c r="E11" s="6"/>
      <c r="F11" s="6" t="s">
        <v>18</v>
      </c>
      <c r="G11" s="6" t="s">
        <v>19</v>
      </c>
      <c r="H11" s="6" t="s">
        <v>18</v>
      </c>
      <c r="I11" s="6" t="s">
        <v>18</v>
      </c>
      <c r="J11" s="6" t="s">
        <v>18</v>
      </c>
      <c r="K11" s="6" t="s">
        <v>18</v>
      </c>
      <c r="L11" s="6"/>
      <c r="M11" s="6" t="s">
        <v>18</v>
      </c>
      <c r="N11" s="6" t="s">
        <v>148</v>
      </c>
      <c r="O11" s="6" t="s">
        <v>149</v>
      </c>
      <c r="P11" s="6" t="s">
        <v>150</v>
      </c>
      <c r="Q11" s="6" t="s">
        <v>151</v>
      </c>
    </row>
    <row r="12">
      <c r="A12" s="3">
        <v>51.0</v>
      </c>
      <c r="B12" s="3" t="s">
        <v>41</v>
      </c>
      <c r="C12" s="4" t="s">
        <v>22</v>
      </c>
      <c r="D12" s="4" t="s">
        <v>152</v>
      </c>
      <c r="E12" s="4"/>
      <c r="F12" s="4" t="s">
        <v>18</v>
      </c>
      <c r="G12" s="4" t="s">
        <v>19</v>
      </c>
      <c r="H12" s="4" t="s">
        <v>153</v>
      </c>
      <c r="I12" s="4" t="s">
        <v>18</v>
      </c>
      <c r="J12" s="4" t="s">
        <v>154</v>
      </c>
      <c r="K12" s="4" t="s">
        <v>18</v>
      </c>
      <c r="L12" s="4"/>
      <c r="M12" s="4" t="s">
        <v>155</v>
      </c>
      <c r="N12" s="4" t="s">
        <v>22</v>
      </c>
      <c r="O12" s="4" t="s">
        <v>156</v>
      </c>
      <c r="P12" s="4" t="s">
        <v>157</v>
      </c>
      <c r="Q12" s="4" t="s">
        <v>158</v>
      </c>
    </row>
    <row r="13">
      <c r="A13" s="5">
        <v>52.0</v>
      </c>
      <c r="B13" s="5" t="s">
        <v>41</v>
      </c>
      <c r="C13" s="6" t="s">
        <v>22</v>
      </c>
      <c r="D13" s="6" t="s">
        <v>152</v>
      </c>
      <c r="E13" s="6"/>
      <c r="F13" s="6" t="s">
        <v>18</v>
      </c>
      <c r="G13" s="6" t="s">
        <v>19</v>
      </c>
      <c r="H13" s="6" t="s">
        <v>18</v>
      </c>
      <c r="I13" s="6" t="s">
        <v>18</v>
      </c>
      <c r="J13" s="6" t="s">
        <v>155</v>
      </c>
      <c r="K13" s="6" t="s">
        <v>18</v>
      </c>
      <c r="L13" s="6"/>
      <c r="M13" s="6" t="s">
        <v>155</v>
      </c>
      <c r="N13" s="6" t="s">
        <v>22</v>
      </c>
      <c r="O13" s="6" t="s">
        <v>159</v>
      </c>
      <c r="P13" s="6" t="s">
        <v>160</v>
      </c>
      <c r="Q13" s="6" t="s">
        <v>161</v>
      </c>
    </row>
    <row r="14">
      <c r="A14" s="3">
        <v>53.0</v>
      </c>
      <c r="B14" s="3" t="s">
        <v>41</v>
      </c>
      <c r="C14" s="4" t="s">
        <v>22</v>
      </c>
      <c r="D14" s="4" t="s">
        <v>152</v>
      </c>
      <c r="E14" s="4"/>
      <c r="F14" s="4" t="s">
        <v>18</v>
      </c>
      <c r="G14" s="4" t="s">
        <v>19</v>
      </c>
      <c r="H14" s="4" t="s">
        <v>18</v>
      </c>
      <c r="I14" s="4" t="s">
        <v>18</v>
      </c>
      <c r="J14" s="4" t="s">
        <v>155</v>
      </c>
      <c r="K14" s="4" t="s">
        <v>18</v>
      </c>
      <c r="L14" s="4"/>
      <c r="M14" s="4" t="s">
        <v>155</v>
      </c>
      <c r="N14" s="4" t="s">
        <v>22</v>
      </c>
      <c r="O14" s="4" t="s">
        <v>162</v>
      </c>
      <c r="P14" s="4" t="s">
        <v>163</v>
      </c>
      <c r="Q14" s="4" t="s">
        <v>164</v>
      </c>
    </row>
    <row r="15">
      <c r="A15" s="5">
        <v>54.0</v>
      </c>
      <c r="B15" s="5" t="s">
        <v>41</v>
      </c>
      <c r="C15" s="6" t="s">
        <v>22</v>
      </c>
      <c r="D15" s="6" t="s">
        <v>152</v>
      </c>
      <c r="E15" s="6"/>
      <c r="F15" s="6" t="s">
        <v>18</v>
      </c>
      <c r="G15" s="6" t="s">
        <v>19</v>
      </c>
      <c r="H15" s="6" t="s">
        <v>18</v>
      </c>
      <c r="I15" s="6" t="s">
        <v>18</v>
      </c>
      <c r="J15" s="6" t="s">
        <v>155</v>
      </c>
      <c r="K15" s="6" t="s">
        <v>18</v>
      </c>
      <c r="L15" s="6"/>
      <c r="M15" s="6" t="s">
        <v>155</v>
      </c>
      <c r="N15" s="6" t="s">
        <v>22</v>
      </c>
      <c r="O15" s="6" t="s">
        <v>165</v>
      </c>
      <c r="P15" s="6" t="s">
        <v>166</v>
      </c>
      <c r="Q15" s="6" t="s">
        <v>167</v>
      </c>
    </row>
    <row r="16">
      <c r="A16" s="3">
        <v>55.0</v>
      </c>
      <c r="B16" s="3" t="s">
        <v>41</v>
      </c>
      <c r="C16" s="4" t="s">
        <v>22</v>
      </c>
      <c r="D16" s="4" t="s">
        <v>152</v>
      </c>
      <c r="E16" s="4"/>
      <c r="F16" s="4" t="s">
        <v>18</v>
      </c>
      <c r="G16" s="4" t="s">
        <v>19</v>
      </c>
      <c r="H16" s="4" t="s">
        <v>18</v>
      </c>
      <c r="I16" s="4" t="s">
        <v>18</v>
      </c>
      <c r="J16" s="4" t="s">
        <v>155</v>
      </c>
      <c r="K16" s="4" t="s">
        <v>18</v>
      </c>
      <c r="L16" s="4"/>
      <c r="M16" s="4" t="s">
        <v>155</v>
      </c>
      <c r="N16" s="4" t="s">
        <v>22</v>
      </c>
      <c r="O16" s="4" t="s">
        <v>168</v>
      </c>
      <c r="P16" s="4" t="s">
        <v>169</v>
      </c>
      <c r="Q16" s="4" t="s">
        <v>170</v>
      </c>
    </row>
    <row r="17">
      <c r="A17" s="5">
        <v>56.0</v>
      </c>
      <c r="B17" s="5" t="s">
        <v>41</v>
      </c>
      <c r="C17" s="6" t="s">
        <v>22</v>
      </c>
      <c r="D17" s="6" t="s">
        <v>152</v>
      </c>
      <c r="E17" s="6"/>
      <c r="F17" s="6" t="s">
        <v>18</v>
      </c>
      <c r="G17" s="6" t="s">
        <v>19</v>
      </c>
      <c r="H17" s="6" t="s">
        <v>18</v>
      </c>
      <c r="I17" s="6" t="s">
        <v>18</v>
      </c>
      <c r="J17" s="6" t="s">
        <v>155</v>
      </c>
      <c r="K17" s="6" t="s">
        <v>18</v>
      </c>
      <c r="L17" s="6"/>
      <c r="M17" s="6" t="s">
        <v>155</v>
      </c>
      <c r="N17" s="6" t="s">
        <v>22</v>
      </c>
      <c r="O17" s="6" t="s">
        <v>171</v>
      </c>
      <c r="P17" s="6" t="s">
        <v>172</v>
      </c>
      <c r="Q17" s="6" t="s">
        <v>173</v>
      </c>
    </row>
    <row r="18">
      <c r="A18" s="3">
        <v>57.0</v>
      </c>
      <c r="B18" s="3" t="s">
        <v>79</v>
      </c>
      <c r="C18" s="4" t="s">
        <v>22</v>
      </c>
      <c r="D18" s="4" t="s">
        <v>152</v>
      </c>
      <c r="E18" s="4"/>
      <c r="F18" s="4" t="s">
        <v>18</v>
      </c>
      <c r="G18" s="4" t="s">
        <v>19</v>
      </c>
      <c r="H18" s="4" t="s">
        <v>18</v>
      </c>
      <c r="I18" s="4" t="s">
        <v>18</v>
      </c>
      <c r="J18" s="4" t="s">
        <v>155</v>
      </c>
      <c r="K18" s="4" t="s">
        <v>18</v>
      </c>
      <c r="L18" s="4"/>
      <c r="M18" s="4" t="s">
        <v>155</v>
      </c>
      <c r="N18" s="4" t="s">
        <v>22</v>
      </c>
      <c r="O18" s="4" t="s">
        <v>174</v>
      </c>
      <c r="P18" s="4" t="s">
        <v>175</v>
      </c>
      <c r="Q18" s="4" t="s">
        <v>176</v>
      </c>
    </row>
    <row r="19">
      <c r="A19" s="5">
        <v>58.0</v>
      </c>
      <c r="B19" s="5" t="s">
        <v>79</v>
      </c>
      <c r="C19" s="6" t="s">
        <v>22</v>
      </c>
      <c r="D19" s="6" t="s">
        <v>152</v>
      </c>
      <c r="E19" s="6"/>
      <c r="F19" s="6" t="s">
        <v>18</v>
      </c>
      <c r="G19" s="6" t="s">
        <v>19</v>
      </c>
      <c r="H19" s="6" t="s">
        <v>18</v>
      </c>
      <c r="I19" s="6" t="s">
        <v>18</v>
      </c>
      <c r="J19" s="6" t="s">
        <v>155</v>
      </c>
      <c r="K19" s="6" t="s">
        <v>18</v>
      </c>
      <c r="L19" s="6"/>
      <c r="M19" s="6" t="s">
        <v>155</v>
      </c>
      <c r="N19" s="6" t="s">
        <v>22</v>
      </c>
      <c r="O19" s="6" t="s">
        <v>177</v>
      </c>
      <c r="P19" s="6" t="s">
        <v>178</v>
      </c>
      <c r="Q19" s="6" t="s">
        <v>179</v>
      </c>
    </row>
    <row r="20">
      <c r="A20" s="3">
        <v>59.0</v>
      </c>
      <c r="B20" s="3" t="s">
        <v>79</v>
      </c>
      <c r="C20" s="4" t="s">
        <v>22</v>
      </c>
      <c r="D20" s="4" t="s">
        <v>152</v>
      </c>
      <c r="E20" s="4">
        <f>16800+13639+L20</f>
        <v>49579.85</v>
      </c>
      <c r="F20" s="4" t="s">
        <v>18</v>
      </c>
      <c r="G20" s="4" t="s">
        <v>19</v>
      </c>
      <c r="H20" s="4" t="s">
        <v>18</v>
      </c>
      <c r="I20" s="4" t="s">
        <v>18</v>
      </c>
      <c r="J20" s="4" t="s">
        <v>180</v>
      </c>
      <c r="K20" s="4" t="s">
        <v>181</v>
      </c>
      <c r="L20" s="4">
        <f>IFERROR(__xludf.DUMMYFUNCTION("VALUE(REGEXREPLACE(K20, ""[^0-9.-]"", """")) - ((VALUE(REGEXREPLACE(K20, ""[^0-9.-]"", """")) * 0.75 - 12570) * 0.2)
"),19140.85)</f>
        <v>19140.85</v>
      </c>
      <c r="M20" s="4" t="s">
        <v>155</v>
      </c>
      <c r="N20" s="4" t="s">
        <v>22</v>
      </c>
      <c r="O20" s="4" t="s">
        <v>22</v>
      </c>
      <c r="P20" s="4" t="s">
        <v>182</v>
      </c>
      <c r="Q20" s="4" t="s">
        <v>182</v>
      </c>
    </row>
    <row r="21">
      <c r="A21" s="5">
        <v>60.0</v>
      </c>
      <c r="B21" s="5" t="s">
        <v>79</v>
      </c>
      <c r="C21" s="6" t="s">
        <v>22</v>
      </c>
      <c r="D21" s="6" t="s">
        <v>152</v>
      </c>
      <c r="E21" s="6">
        <f t="shared" ref="E21:E27" si="1">16800+L21</f>
        <v>47534</v>
      </c>
      <c r="F21" s="6" t="s">
        <v>18</v>
      </c>
      <c r="G21" s="6" t="s">
        <v>19</v>
      </c>
      <c r="H21" s="6" t="s">
        <v>18</v>
      </c>
      <c r="I21" s="6" t="s">
        <v>18</v>
      </c>
      <c r="J21" s="6" t="s">
        <v>18</v>
      </c>
      <c r="K21" s="6" t="s">
        <v>155</v>
      </c>
      <c r="L21" s="4">
        <f>IFERROR(__xludf.DUMMYFUNCTION("VALUE(REGEXREPLACE(K21, ""[^0-9.-]"", """")) - ((VALUE(REGEXREPLACE(K21, ""[^0-9.-]"", """")) * 0.75 - 12570) * 0.2)
"),30734.0)</f>
        <v>30734</v>
      </c>
      <c r="M21" s="6" t="s">
        <v>155</v>
      </c>
      <c r="N21" s="6" t="s">
        <v>22</v>
      </c>
      <c r="O21" s="6" t="s">
        <v>22</v>
      </c>
      <c r="P21" s="6" t="s">
        <v>183</v>
      </c>
      <c r="Q21" s="6" t="s">
        <v>183</v>
      </c>
    </row>
    <row r="22">
      <c r="A22" s="3">
        <v>61.0</v>
      </c>
      <c r="B22" s="3" t="s">
        <v>79</v>
      </c>
      <c r="C22" s="4" t="s">
        <v>22</v>
      </c>
      <c r="D22" s="4" t="s">
        <v>152</v>
      </c>
      <c r="E22" s="6">
        <f t="shared" si="1"/>
        <v>47534</v>
      </c>
      <c r="F22" s="4" t="s">
        <v>18</v>
      </c>
      <c r="G22" s="4" t="s">
        <v>19</v>
      </c>
      <c r="H22" s="4" t="s">
        <v>18</v>
      </c>
      <c r="I22" s="4" t="s">
        <v>18</v>
      </c>
      <c r="J22" s="4" t="s">
        <v>18</v>
      </c>
      <c r="K22" s="4" t="s">
        <v>155</v>
      </c>
      <c r="L22" s="4">
        <f>IFERROR(__xludf.DUMMYFUNCTION("VALUE(REGEXREPLACE(K22, ""[^0-9.-]"", """")) - ((VALUE(REGEXREPLACE(K22, ""[^0-9.-]"", """")) * 0.75 - 12570) * 0.2)
"),30734.0)</f>
        <v>30734</v>
      </c>
      <c r="M22" s="4" t="s">
        <v>155</v>
      </c>
      <c r="N22" s="4" t="s">
        <v>22</v>
      </c>
      <c r="O22" s="4" t="s">
        <v>22</v>
      </c>
      <c r="P22" s="4" t="s">
        <v>184</v>
      </c>
      <c r="Q22" s="4" t="s">
        <v>184</v>
      </c>
    </row>
    <row r="23">
      <c r="A23" s="5">
        <v>62.0</v>
      </c>
      <c r="B23" s="5" t="s">
        <v>79</v>
      </c>
      <c r="C23" s="6" t="s">
        <v>22</v>
      </c>
      <c r="D23" s="6" t="s">
        <v>152</v>
      </c>
      <c r="E23" s="6">
        <f t="shared" si="1"/>
        <v>47534</v>
      </c>
      <c r="F23" s="6" t="s">
        <v>18</v>
      </c>
      <c r="G23" s="6" t="s">
        <v>19</v>
      </c>
      <c r="H23" s="6" t="s">
        <v>18</v>
      </c>
      <c r="I23" s="6" t="s">
        <v>18</v>
      </c>
      <c r="J23" s="6" t="s">
        <v>18</v>
      </c>
      <c r="K23" s="6" t="s">
        <v>155</v>
      </c>
      <c r="L23" s="4">
        <f>IFERROR(__xludf.DUMMYFUNCTION("VALUE(REGEXREPLACE(K23, ""[^0-9.-]"", """")) - ((VALUE(REGEXREPLACE(K23, ""[^0-9.-]"", """")) * 0.75 - 12570) * 0.2)
"),30734.0)</f>
        <v>30734</v>
      </c>
      <c r="M23" s="6" t="s">
        <v>155</v>
      </c>
      <c r="N23" s="6" t="s">
        <v>22</v>
      </c>
      <c r="O23" s="6" t="s">
        <v>22</v>
      </c>
      <c r="P23" s="6" t="s">
        <v>185</v>
      </c>
      <c r="Q23" s="6" t="s">
        <v>185</v>
      </c>
    </row>
    <row r="24">
      <c r="A24" s="3">
        <v>63.0</v>
      </c>
      <c r="B24" s="3" t="s">
        <v>79</v>
      </c>
      <c r="C24" s="4" t="s">
        <v>22</v>
      </c>
      <c r="D24" s="4" t="s">
        <v>152</v>
      </c>
      <c r="E24" s="6">
        <f t="shared" si="1"/>
        <v>47534</v>
      </c>
      <c r="F24" s="4" t="s">
        <v>18</v>
      </c>
      <c r="G24" s="4" t="s">
        <v>19</v>
      </c>
      <c r="H24" s="4" t="s">
        <v>18</v>
      </c>
      <c r="I24" s="4" t="s">
        <v>18</v>
      </c>
      <c r="J24" s="4" t="s">
        <v>18</v>
      </c>
      <c r="K24" s="4" t="s">
        <v>155</v>
      </c>
      <c r="L24" s="4">
        <f>IFERROR(__xludf.DUMMYFUNCTION("VALUE(REGEXREPLACE(K24, ""[^0-9.-]"", """")) - ((VALUE(REGEXREPLACE(K24, ""[^0-9.-]"", """")) * 0.75 - 12570) * 0.2)
"),30734.0)</f>
        <v>30734</v>
      </c>
      <c r="M24" s="4" t="s">
        <v>155</v>
      </c>
      <c r="N24" s="4" t="s">
        <v>22</v>
      </c>
      <c r="O24" s="4" t="s">
        <v>22</v>
      </c>
      <c r="P24" s="4" t="s">
        <v>186</v>
      </c>
      <c r="Q24" s="4" t="s">
        <v>186</v>
      </c>
    </row>
    <row r="25">
      <c r="A25" s="5">
        <v>64.0</v>
      </c>
      <c r="B25" s="5" t="s">
        <v>79</v>
      </c>
      <c r="C25" s="6" t="s">
        <v>22</v>
      </c>
      <c r="D25" s="6" t="s">
        <v>152</v>
      </c>
      <c r="E25" s="6">
        <f t="shared" si="1"/>
        <v>47534</v>
      </c>
      <c r="F25" s="6" t="s">
        <v>18</v>
      </c>
      <c r="G25" s="6" t="s">
        <v>19</v>
      </c>
      <c r="H25" s="6" t="s">
        <v>18</v>
      </c>
      <c r="I25" s="6" t="s">
        <v>18</v>
      </c>
      <c r="J25" s="6" t="s">
        <v>18</v>
      </c>
      <c r="K25" s="6" t="s">
        <v>155</v>
      </c>
      <c r="L25" s="4">
        <f>IFERROR(__xludf.DUMMYFUNCTION("VALUE(REGEXREPLACE(K25, ""[^0-9.-]"", """")) - ((VALUE(REGEXREPLACE(K25, ""[^0-9.-]"", """")) * 0.75 - 12570) * 0.2)
"),30734.0)</f>
        <v>30734</v>
      </c>
      <c r="M25" s="6" t="s">
        <v>155</v>
      </c>
      <c r="N25" s="6" t="s">
        <v>22</v>
      </c>
      <c r="O25" s="6" t="s">
        <v>22</v>
      </c>
      <c r="P25" s="6" t="s">
        <v>187</v>
      </c>
      <c r="Q25" s="6" t="s">
        <v>187</v>
      </c>
    </row>
    <row r="26">
      <c r="A26" s="3">
        <v>65.0</v>
      </c>
      <c r="B26" s="3" t="s">
        <v>79</v>
      </c>
      <c r="C26" s="4" t="s">
        <v>22</v>
      </c>
      <c r="D26" s="4" t="s">
        <v>152</v>
      </c>
      <c r="E26" s="6">
        <f t="shared" si="1"/>
        <v>47534</v>
      </c>
      <c r="F26" s="4" t="s">
        <v>18</v>
      </c>
      <c r="G26" s="4" t="s">
        <v>19</v>
      </c>
      <c r="H26" s="4" t="s">
        <v>18</v>
      </c>
      <c r="I26" s="4" t="s">
        <v>18</v>
      </c>
      <c r="J26" s="4" t="s">
        <v>18</v>
      </c>
      <c r="K26" s="4" t="s">
        <v>155</v>
      </c>
      <c r="L26" s="4">
        <f>IFERROR(__xludf.DUMMYFUNCTION("VALUE(REGEXREPLACE(K26, ""[^0-9.-]"", """")) - ((VALUE(REGEXREPLACE(K26, ""[^0-9.-]"", """")) * 0.75 - 12570) * 0.2)
"),30734.0)</f>
        <v>30734</v>
      </c>
      <c r="M26" s="4" t="s">
        <v>155</v>
      </c>
      <c r="N26" s="4" t="s">
        <v>22</v>
      </c>
      <c r="O26" s="4" t="s">
        <v>22</v>
      </c>
      <c r="P26" s="4" t="s">
        <v>188</v>
      </c>
      <c r="Q26" s="4" t="s">
        <v>188</v>
      </c>
    </row>
    <row r="27">
      <c r="A27" s="5">
        <v>66.0</v>
      </c>
      <c r="B27" s="5" t="s">
        <v>79</v>
      </c>
      <c r="C27" s="6" t="s">
        <v>22</v>
      </c>
      <c r="D27" s="6" t="s">
        <v>152</v>
      </c>
      <c r="E27" s="6">
        <f t="shared" si="1"/>
        <v>47534</v>
      </c>
      <c r="F27" s="6" t="s">
        <v>18</v>
      </c>
      <c r="G27" s="6" t="s">
        <v>19</v>
      </c>
      <c r="H27" s="6" t="s">
        <v>18</v>
      </c>
      <c r="I27" s="6" t="s">
        <v>18</v>
      </c>
      <c r="J27" s="6" t="s">
        <v>18</v>
      </c>
      <c r="K27" s="6" t="s">
        <v>155</v>
      </c>
      <c r="L27" s="4">
        <f>IFERROR(__xludf.DUMMYFUNCTION("VALUE(REGEXREPLACE(K27, ""[^0-9.-]"", """")) - ((VALUE(REGEXREPLACE(K27, ""[^0-9.-]"", """")) * 0.75 - 12570) * 0.2)
"),30734.0)</f>
        <v>30734</v>
      </c>
      <c r="M27" s="6" t="s">
        <v>155</v>
      </c>
      <c r="N27" s="6" t="s">
        <v>22</v>
      </c>
      <c r="O27" s="6" t="s">
        <v>22</v>
      </c>
      <c r="P27" s="6" t="s">
        <v>189</v>
      </c>
      <c r="Q27" s="6" t="s">
        <v>189</v>
      </c>
    </row>
    <row r="28">
      <c r="A28" s="3">
        <v>67.0</v>
      </c>
      <c r="B28" s="3" t="s">
        <v>79</v>
      </c>
      <c r="C28" s="4" t="s">
        <v>22</v>
      </c>
      <c r="D28" s="4" t="s">
        <v>152</v>
      </c>
      <c r="E28" s="6">
        <f t="shared" ref="E28:E51" si="2">16800+L28+11100</f>
        <v>49284</v>
      </c>
      <c r="F28" s="4" t="s">
        <v>92</v>
      </c>
      <c r="G28" s="4" t="s">
        <v>19</v>
      </c>
      <c r="H28" s="4" t="s">
        <v>18</v>
      </c>
      <c r="I28" s="4" t="s">
        <v>18</v>
      </c>
      <c r="J28" s="4" t="s">
        <v>18</v>
      </c>
      <c r="K28" s="4" t="s">
        <v>190</v>
      </c>
      <c r="L28" s="4">
        <f>IFERROR(__xludf.DUMMYFUNCTION("VALUE(REGEXREPLACE(K28, ""[^0-9.-]"", """")) - ((VALUE(REGEXREPLACE(K28, ""[^0-9.-]"", """")) * 0.75 - 12570) * 0.2)
"),21384.0)</f>
        <v>21384</v>
      </c>
      <c r="M28" s="4" t="s">
        <v>190</v>
      </c>
      <c r="N28" s="4" t="s">
        <v>22</v>
      </c>
      <c r="O28" s="4" t="s">
        <v>22</v>
      </c>
      <c r="P28" s="4" t="s">
        <v>191</v>
      </c>
      <c r="Q28" s="4" t="s">
        <v>191</v>
      </c>
    </row>
    <row r="29">
      <c r="A29" s="5">
        <v>68.0</v>
      </c>
      <c r="B29" s="5" t="s">
        <v>79</v>
      </c>
      <c r="C29" s="6" t="s">
        <v>22</v>
      </c>
      <c r="D29" s="6" t="s">
        <v>152</v>
      </c>
      <c r="E29" s="6">
        <f t="shared" si="2"/>
        <v>49284</v>
      </c>
      <c r="F29" s="6" t="s">
        <v>92</v>
      </c>
      <c r="G29" s="6" t="s">
        <v>19</v>
      </c>
      <c r="H29" s="6" t="s">
        <v>18</v>
      </c>
      <c r="I29" s="6" t="s">
        <v>18</v>
      </c>
      <c r="J29" s="6" t="s">
        <v>18</v>
      </c>
      <c r="K29" s="6" t="s">
        <v>190</v>
      </c>
      <c r="L29" s="4">
        <f>IFERROR(__xludf.DUMMYFUNCTION("VALUE(REGEXREPLACE(K29, ""[^0-9.-]"", """")) - ((VALUE(REGEXREPLACE(K29, ""[^0-9.-]"", """")) * 0.75 - 12570) * 0.2)
"),21384.0)</f>
        <v>21384</v>
      </c>
      <c r="M29" s="6" t="s">
        <v>190</v>
      </c>
      <c r="N29" s="6" t="s">
        <v>22</v>
      </c>
      <c r="O29" s="6" t="s">
        <v>22</v>
      </c>
      <c r="P29" s="6" t="s">
        <v>192</v>
      </c>
      <c r="Q29" s="6" t="s">
        <v>192</v>
      </c>
    </row>
    <row r="30">
      <c r="A30" s="3">
        <v>69.0</v>
      </c>
      <c r="B30" s="3" t="s">
        <v>79</v>
      </c>
      <c r="C30" s="4" t="s">
        <v>22</v>
      </c>
      <c r="D30" s="4" t="s">
        <v>152</v>
      </c>
      <c r="E30" s="6">
        <f t="shared" si="2"/>
        <v>49284</v>
      </c>
      <c r="F30" s="4" t="s">
        <v>92</v>
      </c>
      <c r="G30" s="4" t="s">
        <v>19</v>
      </c>
      <c r="H30" s="4" t="s">
        <v>18</v>
      </c>
      <c r="I30" s="4" t="s">
        <v>18</v>
      </c>
      <c r="J30" s="4" t="s">
        <v>18</v>
      </c>
      <c r="K30" s="4" t="s">
        <v>190</v>
      </c>
      <c r="L30" s="4">
        <f>IFERROR(__xludf.DUMMYFUNCTION("VALUE(REGEXREPLACE(K30, ""[^0-9.-]"", """")) - ((VALUE(REGEXREPLACE(K30, ""[^0-9.-]"", """")) * 0.75 - 12570) * 0.2)
"),21384.0)</f>
        <v>21384</v>
      </c>
      <c r="M30" s="4" t="s">
        <v>190</v>
      </c>
      <c r="N30" s="4" t="s">
        <v>22</v>
      </c>
      <c r="O30" s="4" t="s">
        <v>22</v>
      </c>
      <c r="P30" s="4" t="s">
        <v>193</v>
      </c>
      <c r="Q30" s="4" t="s">
        <v>193</v>
      </c>
    </row>
    <row r="31">
      <c r="A31" s="5">
        <v>70.0</v>
      </c>
      <c r="B31" s="5" t="s">
        <v>79</v>
      </c>
      <c r="C31" s="6" t="s">
        <v>22</v>
      </c>
      <c r="D31" s="6" t="s">
        <v>152</v>
      </c>
      <c r="E31" s="6">
        <f t="shared" si="2"/>
        <v>49284</v>
      </c>
      <c r="F31" s="6" t="s">
        <v>92</v>
      </c>
      <c r="G31" s="6" t="s">
        <v>19</v>
      </c>
      <c r="H31" s="6" t="s">
        <v>18</v>
      </c>
      <c r="I31" s="6" t="s">
        <v>18</v>
      </c>
      <c r="J31" s="6" t="s">
        <v>18</v>
      </c>
      <c r="K31" s="6" t="s">
        <v>190</v>
      </c>
      <c r="L31" s="4">
        <f>IFERROR(__xludf.DUMMYFUNCTION("VALUE(REGEXREPLACE(K31, ""[^0-9.-]"", """")) - ((VALUE(REGEXREPLACE(K31, ""[^0-9.-]"", """")) * 0.75 - 12570) * 0.2)
"),21384.0)</f>
        <v>21384</v>
      </c>
      <c r="M31" s="6" t="s">
        <v>190</v>
      </c>
      <c r="N31" s="6" t="s">
        <v>22</v>
      </c>
      <c r="O31" s="6" t="s">
        <v>22</v>
      </c>
      <c r="P31" s="6" t="s">
        <v>194</v>
      </c>
      <c r="Q31" s="6" t="s">
        <v>194</v>
      </c>
    </row>
    <row r="32">
      <c r="A32" s="3">
        <v>71.0</v>
      </c>
      <c r="B32" s="3" t="s">
        <v>79</v>
      </c>
      <c r="C32" s="4" t="s">
        <v>22</v>
      </c>
      <c r="D32" s="4" t="s">
        <v>152</v>
      </c>
      <c r="E32" s="6">
        <f t="shared" si="2"/>
        <v>49284</v>
      </c>
      <c r="F32" s="4" t="s">
        <v>92</v>
      </c>
      <c r="G32" s="4" t="s">
        <v>19</v>
      </c>
      <c r="H32" s="4" t="s">
        <v>18</v>
      </c>
      <c r="I32" s="4" t="s">
        <v>18</v>
      </c>
      <c r="J32" s="4" t="s">
        <v>18</v>
      </c>
      <c r="K32" s="4" t="s">
        <v>190</v>
      </c>
      <c r="L32" s="4">
        <f>IFERROR(__xludf.DUMMYFUNCTION("VALUE(REGEXREPLACE(K32, ""[^0-9.-]"", """")) - ((VALUE(REGEXREPLACE(K32, ""[^0-9.-]"", """")) * 0.75 - 12570) * 0.2)
"),21384.0)</f>
        <v>21384</v>
      </c>
      <c r="M32" s="4" t="s">
        <v>190</v>
      </c>
      <c r="N32" s="4" t="s">
        <v>22</v>
      </c>
      <c r="O32" s="4" t="s">
        <v>22</v>
      </c>
      <c r="P32" s="4" t="s">
        <v>195</v>
      </c>
      <c r="Q32" s="4" t="s">
        <v>195</v>
      </c>
    </row>
    <row r="33">
      <c r="A33" s="5">
        <v>72.0</v>
      </c>
      <c r="B33" s="5" t="s">
        <v>79</v>
      </c>
      <c r="C33" s="6" t="s">
        <v>22</v>
      </c>
      <c r="D33" s="6" t="s">
        <v>152</v>
      </c>
      <c r="E33" s="6">
        <f t="shared" si="2"/>
        <v>49284</v>
      </c>
      <c r="F33" s="6" t="s">
        <v>92</v>
      </c>
      <c r="G33" s="6" t="s">
        <v>19</v>
      </c>
      <c r="H33" s="6" t="s">
        <v>18</v>
      </c>
      <c r="I33" s="6" t="s">
        <v>18</v>
      </c>
      <c r="J33" s="6" t="s">
        <v>18</v>
      </c>
      <c r="K33" s="6" t="s">
        <v>190</v>
      </c>
      <c r="L33" s="4">
        <f>IFERROR(__xludf.DUMMYFUNCTION("VALUE(REGEXREPLACE(K33, ""[^0-9.-]"", """")) - ((VALUE(REGEXREPLACE(K33, ""[^0-9.-]"", """")) * 0.75 - 12570) * 0.2)
"),21384.0)</f>
        <v>21384</v>
      </c>
      <c r="M33" s="6" t="s">
        <v>190</v>
      </c>
      <c r="N33" s="6" t="s">
        <v>22</v>
      </c>
      <c r="O33" s="6" t="s">
        <v>22</v>
      </c>
      <c r="P33" s="6" t="s">
        <v>196</v>
      </c>
      <c r="Q33" s="6" t="s">
        <v>196</v>
      </c>
    </row>
    <row r="34">
      <c r="A34" s="3">
        <v>73.0</v>
      </c>
      <c r="B34" s="3" t="s">
        <v>79</v>
      </c>
      <c r="C34" s="4" t="s">
        <v>22</v>
      </c>
      <c r="D34" s="4" t="s">
        <v>152</v>
      </c>
      <c r="E34" s="6">
        <f t="shared" si="2"/>
        <v>49284</v>
      </c>
      <c r="F34" s="4" t="s">
        <v>92</v>
      </c>
      <c r="G34" s="4" t="s">
        <v>19</v>
      </c>
      <c r="H34" s="4" t="s">
        <v>18</v>
      </c>
      <c r="I34" s="4" t="s">
        <v>18</v>
      </c>
      <c r="J34" s="4" t="s">
        <v>18</v>
      </c>
      <c r="K34" s="4" t="s">
        <v>190</v>
      </c>
      <c r="L34" s="4">
        <f>IFERROR(__xludf.DUMMYFUNCTION("VALUE(REGEXREPLACE(K34, ""[^0-9.-]"", """")) - ((VALUE(REGEXREPLACE(K34, ""[^0-9.-]"", """")) * 0.75 - 12570) * 0.2)
"),21384.0)</f>
        <v>21384</v>
      </c>
      <c r="M34" s="4" t="s">
        <v>190</v>
      </c>
      <c r="N34" s="4" t="s">
        <v>22</v>
      </c>
      <c r="O34" s="4" t="s">
        <v>22</v>
      </c>
      <c r="P34" s="4" t="s">
        <v>197</v>
      </c>
      <c r="Q34" s="4" t="s">
        <v>197</v>
      </c>
    </row>
    <row r="35">
      <c r="A35" s="5">
        <v>74.0</v>
      </c>
      <c r="B35" s="5" t="s">
        <v>79</v>
      </c>
      <c r="C35" s="6" t="s">
        <v>22</v>
      </c>
      <c r="D35" s="6" t="s">
        <v>152</v>
      </c>
      <c r="E35" s="6">
        <f t="shared" si="2"/>
        <v>49284</v>
      </c>
      <c r="F35" s="6" t="s">
        <v>92</v>
      </c>
      <c r="G35" s="6" t="s">
        <v>19</v>
      </c>
      <c r="H35" s="6" t="s">
        <v>18</v>
      </c>
      <c r="I35" s="6" t="s">
        <v>18</v>
      </c>
      <c r="J35" s="6" t="s">
        <v>18</v>
      </c>
      <c r="K35" s="6" t="s">
        <v>190</v>
      </c>
      <c r="L35" s="4">
        <f>IFERROR(__xludf.DUMMYFUNCTION("VALUE(REGEXREPLACE(K35, ""[^0-9.-]"", """")) - ((VALUE(REGEXREPLACE(K35, ""[^0-9.-]"", """")) * 0.75 - 12570) * 0.2)
"),21384.0)</f>
        <v>21384</v>
      </c>
      <c r="M35" s="6" t="s">
        <v>190</v>
      </c>
      <c r="N35" s="6" t="s">
        <v>22</v>
      </c>
      <c r="O35" s="6" t="s">
        <v>22</v>
      </c>
      <c r="P35" s="6" t="s">
        <v>198</v>
      </c>
      <c r="Q35" s="6" t="s">
        <v>198</v>
      </c>
    </row>
    <row r="36">
      <c r="A36" s="3">
        <v>75.0</v>
      </c>
      <c r="B36" s="3" t="s">
        <v>79</v>
      </c>
      <c r="C36" s="4" t="s">
        <v>22</v>
      </c>
      <c r="D36" s="4" t="s">
        <v>152</v>
      </c>
      <c r="E36" s="6">
        <f t="shared" si="2"/>
        <v>49284</v>
      </c>
      <c r="F36" s="4" t="s">
        <v>92</v>
      </c>
      <c r="G36" s="4" t="s">
        <v>19</v>
      </c>
      <c r="H36" s="4" t="s">
        <v>18</v>
      </c>
      <c r="I36" s="4" t="s">
        <v>18</v>
      </c>
      <c r="J36" s="4" t="s">
        <v>18</v>
      </c>
      <c r="K36" s="4" t="s">
        <v>190</v>
      </c>
      <c r="L36" s="4">
        <f>IFERROR(__xludf.DUMMYFUNCTION("VALUE(REGEXREPLACE(K36, ""[^0-9.-]"", """")) - ((VALUE(REGEXREPLACE(K36, ""[^0-9.-]"", """")) * 0.75 - 12570) * 0.2)
"),21384.0)</f>
        <v>21384</v>
      </c>
      <c r="M36" s="4" t="s">
        <v>190</v>
      </c>
      <c r="N36" s="4" t="s">
        <v>22</v>
      </c>
      <c r="O36" s="4" t="s">
        <v>22</v>
      </c>
      <c r="P36" s="4" t="s">
        <v>199</v>
      </c>
      <c r="Q36" s="4" t="s">
        <v>199</v>
      </c>
    </row>
    <row r="37">
      <c r="A37" s="5">
        <v>76.0</v>
      </c>
      <c r="B37" s="5" t="s">
        <v>79</v>
      </c>
      <c r="C37" s="6" t="s">
        <v>22</v>
      </c>
      <c r="D37" s="6" t="s">
        <v>152</v>
      </c>
      <c r="E37" s="6">
        <f t="shared" si="2"/>
        <v>49284</v>
      </c>
      <c r="F37" s="6" t="s">
        <v>92</v>
      </c>
      <c r="G37" s="6" t="s">
        <v>19</v>
      </c>
      <c r="H37" s="6" t="s">
        <v>18</v>
      </c>
      <c r="I37" s="6" t="s">
        <v>18</v>
      </c>
      <c r="J37" s="6" t="s">
        <v>18</v>
      </c>
      <c r="K37" s="6" t="s">
        <v>190</v>
      </c>
      <c r="L37" s="4">
        <f>IFERROR(__xludf.DUMMYFUNCTION("VALUE(REGEXREPLACE(K37, ""[^0-9.-]"", """")) - ((VALUE(REGEXREPLACE(K37, ""[^0-9.-]"", """")) * 0.75 - 12570) * 0.2)
"),21384.0)</f>
        <v>21384</v>
      </c>
      <c r="M37" s="6" t="s">
        <v>190</v>
      </c>
      <c r="N37" s="6" t="s">
        <v>22</v>
      </c>
      <c r="O37" s="6" t="s">
        <v>22</v>
      </c>
      <c r="P37" s="6" t="s">
        <v>200</v>
      </c>
      <c r="Q37" s="6" t="s">
        <v>200</v>
      </c>
    </row>
    <row r="38">
      <c r="A38" s="3">
        <v>77.0</v>
      </c>
      <c r="B38" s="3" t="s">
        <v>79</v>
      </c>
      <c r="C38" s="4" t="s">
        <v>22</v>
      </c>
      <c r="D38" s="4" t="s">
        <v>152</v>
      </c>
      <c r="E38" s="6">
        <f t="shared" si="2"/>
        <v>49284</v>
      </c>
      <c r="F38" s="4" t="s">
        <v>92</v>
      </c>
      <c r="G38" s="4" t="s">
        <v>19</v>
      </c>
      <c r="H38" s="4" t="s">
        <v>18</v>
      </c>
      <c r="I38" s="4" t="s">
        <v>18</v>
      </c>
      <c r="J38" s="4" t="s">
        <v>18</v>
      </c>
      <c r="K38" s="4" t="s">
        <v>190</v>
      </c>
      <c r="L38" s="4">
        <f>IFERROR(__xludf.DUMMYFUNCTION("VALUE(REGEXREPLACE(K38, ""[^0-9.-]"", """")) - ((VALUE(REGEXREPLACE(K38, ""[^0-9.-]"", """")) * 0.75 - 12570) * 0.2)
"),21384.0)</f>
        <v>21384</v>
      </c>
      <c r="M38" s="4" t="s">
        <v>190</v>
      </c>
      <c r="N38" s="4" t="s">
        <v>22</v>
      </c>
      <c r="O38" s="4" t="s">
        <v>22</v>
      </c>
      <c r="P38" s="4" t="s">
        <v>201</v>
      </c>
      <c r="Q38" s="4" t="s">
        <v>201</v>
      </c>
    </row>
    <row r="39">
      <c r="A39" s="5">
        <v>78.0</v>
      </c>
      <c r="B39" s="5" t="s">
        <v>79</v>
      </c>
      <c r="C39" s="6" t="s">
        <v>22</v>
      </c>
      <c r="D39" s="6" t="s">
        <v>152</v>
      </c>
      <c r="E39" s="6">
        <f t="shared" si="2"/>
        <v>49284</v>
      </c>
      <c r="F39" s="6" t="s">
        <v>92</v>
      </c>
      <c r="G39" s="6" t="s">
        <v>19</v>
      </c>
      <c r="H39" s="6" t="s">
        <v>18</v>
      </c>
      <c r="I39" s="6" t="s">
        <v>18</v>
      </c>
      <c r="J39" s="6" t="s">
        <v>18</v>
      </c>
      <c r="K39" s="6" t="s">
        <v>190</v>
      </c>
      <c r="L39" s="4">
        <f>IFERROR(__xludf.DUMMYFUNCTION("VALUE(REGEXREPLACE(K39, ""[^0-9.-]"", """")) - ((VALUE(REGEXREPLACE(K39, ""[^0-9.-]"", """")) * 0.75 - 12570) * 0.2)
"),21384.0)</f>
        <v>21384</v>
      </c>
      <c r="M39" s="6" t="s">
        <v>190</v>
      </c>
      <c r="N39" s="6" t="s">
        <v>22</v>
      </c>
      <c r="O39" s="6" t="s">
        <v>22</v>
      </c>
      <c r="P39" s="6" t="s">
        <v>202</v>
      </c>
      <c r="Q39" s="6" t="s">
        <v>202</v>
      </c>
    </row>
    <row r="40">
      <c r="A40" s="3">
        <v>79.0</v>
      </c>
      <c r="B40" s="3" t="s">
        <v>79</v>
      </c>
      <c r="C40" s="4" t="s">
        <v>22</v>
      </c>
      <c r="D40" s="4" t="s">
        <v>152</v>
      </c>
      <c r="E40" s="6">
        <f t="shared" si="2"/>
        <v>49284</v>
      </c>
      <c r="F40" s="4" t="s">
        <v>92</v>
      </c>
      <c r="G40" s="4" t="s">
        <v>19</v>
      </c>
      <c r="H40" s="4" t="s">
        <v>18</v>
      </c>
      <c r="I40" s="4" t="s">
        <v>18</v>
      </c>
      <c r="J40" s="4" t="s">
        <v>18</v>
      </c>
      <c r="K40" s="4" t="s">
        <v>190</v>
      </c>
      <c r="L40" s="4">
        <f>IFERROR(__xludf.DUMMYFUNCTION("VALUE(REGEXREPLACE(K40, ""[^0-9.-]"", """")) - ((VALUE(REGEXREPLACE(K40, ""[^0-9.-]"", """")) * 0.75 - 12570) * 0.2)
"),21384.0)</f>
        <v>21384</v>
      </c>
      <c r="M40" s="4" t="s">
        <v>190</v>
      </c>
      <c r="N40" s="4" t="s">
        <v>22</v>
      </c>
      <c r="O40" s="4" t="s">
        <v>22</v>
      </c>
      <c r="P40" s="4" t="s">
        <v>203</v>
      </c>
      <c r="Q40" s="4" t="s">
        <v>203</v>
      </c>
    </row>
    <row r="41">
      <c r="A41" s="5">
        <v>80.0</v>
      </c>
      <c r="B41" s="5" t="s">
        <v>79</v>
      </c>
      <c r="C41" s="6" t="s">
        <v>22</v>
      </c>
      <c r="D41" s="6" t="s">
        <v>152</v>
      </c>
      <c r="E41" s="6">
        <f t="shared" si="2"/>
        <v>49284</v>
      </c>
      <c r="F41" s="6" t="s">
        <v>92</v>
      </c>
      <c r="G41" s="6" t="s">
        <v>19</v>
      </c>
      <c r="H41" s="6" t="s">
        <v>18</v>
      </c>
      <c r="I41" s="6" t="s">
        <v>18</v>
      </c>
      <c r="J41" s="6" t="s">
        <v>18</v>
      </c>
      <c r="K41" s="6" t="s">
        <v>190</v>
      </c>
      <c r="L41" s="4">
        <f>IFERROR(__xludf.DUMMYFUNCTION("VALUE(REGEXREPLACE(K41, ""[^0-9.-]"", """")) - ((VALUE(REGEXREPLACE(K41, ""[^0-9.-]"", """")) * 0.75 - 12570) * 0.2)
"),21384.0)</f>
        <v>21384</v>
      </c>
      <c r="M41" s="6" t="s">
        <v>190</v>
      </c>
      <c r="N41" s="6" t="s">
        <v>22</v>
      </c>
      <c r="O41" s="6" t="s">
        <v>22</v>
      </c>
      <c r="P41" s="6" t="s">
        <v>204</v>
      </c>
      <c r="Q41" s="6" t="s">
        <v>204</v>
      </c>
    </row>
    <row r="42">
      <c r="A42" s="3">
        <v>81.0</v>
      </c>
      <c r="B42" s="3" t="s">
        <v>79</v>
      </c>
      <c r="C42" s="4" t="s">
        <v>22</v>
      </c>
      <c r="D42" s="4" t="s">
        <v>152</v>
      </c>
      <c r="E42" s="6">
        <f t="shared" si="2"/>
        <v>49284</v>
      </c>
      <c r="F42" s="4" t="s">
        <v>92</v>
      </c>
      <c r="G42" s="4" t="s">
        <v>19</v>
      </c>
      <c r="H42" s="4" t="s">
        <v>18</v>
      </c>
      <c r="I42" s="4" t="s">
        <v>18</v>
      </c>
      <c r="J42" s="4" t="s">
        <v>18</v>
      </c>
      <c r="K42" s="4" t="s">
        <v>190</v>
      </c>
      <c r="L42" s="4">
        <f>IFERROR(__xludf.DUMMYFUNCTION("VALUE(REGEXREPLACE(K42, ""[^0-9.-]"", """")) - ((VALUE(REGEXREPLACE(K42, ""[^0-9.-]"", """")) * 0.75 - 12570) * 0.2)
"),21384.0)</f>
        <v>21384</v>
      </c>
      <c r="M42" s="4" t="s">
        <v>190</v>
      </c>
      <c r="N42" s="4" t="s">
        <v>22</v>
      </c>
      <c r="O42" s="4" t="s">
        <v>22</v>
      </c>
      <c r="P42" s="4" t="s">
        <v>205</v>
      </c>
      <c r="Q42" s="4" t="s">
        <v>205</v>
      </c>
    </row>
    <row r="43">
      <c r="A43" s="5">
        <v>82.0</v>
      </c>
      <c r="B43" s="5" t="s">
        <v>79</v>
      </c>
      <c r="C43" s="6" t="s">
        <v>22</v>
      </c>
      <c r="D43" s="6" t="s">
        <v>152</v>
      </c>
      <c r="E43" s="6">
        <f t="shared" si="2"/>
        <v>49284</v>
      </c>
      <c r="F43" s="6" t="s">
        <v>92</v>
      </c>
      <c r="G43" s="6" t="s">
        <v>19</v>
      </c>
      <c r="H43" s="6" t="s">
        <v>18</v>
      </c>
      <c r="I43" s="6" t="s">
        <v>18</v>
      </c>
      <c r="J43" s="6" t="s">
        <v>18</v>
      </c>
      <c r="K43" s="6" t="s">
        <v>190</v>
      </c>
      <c r="L43" s="4">
        <f>IFERROR(__xludf.DUMMYFUNCTION("VALUE(REGEXREPLACE(K43, ""[^0-9.-]"", """")) - ((VALUE(REGEXREPLACE(K43, ""[^0-9.-]"", """")) * 0.75 - 12570) * 0.2)
"),21384.0)</f>
        <v>21384</v>
      </c>
      <c r="M43" s="6" t="s">
        <v>190</v>
      </c>
      <c r="N43" s="6" t="s">
        <v>22</v>
      </c>
      <c r="O43" s="6" t="s">
        <v>22</v>
      </c>
      <c r="P43" s="6" t="s">
        <v>206</v>
      </c>
      <c r="Q43" s="6" t="s">
        <v>206</v>
      </c>
    </row>
    <row r="44">
      <c r="A44" s="3">
        <v>83.0</v>
      </c>
      <c r="B44" s="3" t="s">
        <v>79</v>
      </c>
      <c r="C44" s="4" t="s">
        <v>22</v>
      </c>
      <c r="D44" s="4" t="s">
        <v>152</v>
      </c>
      <c r="E44" s="6">
        <f t="shared" si="2"/>
        <v>49284</v>
      </c>
      <c r="F44" s="4" t="s">
        <v>92</v>
      </c>
      <c r="G44" s="4" t="s">
        <v>19</v>
      </c>
      <c r="H44" s="4" t="s">
        <v>18</v>
      </c>
      <c r="I44" s="4" t="s">
        <v>18</v>
      </c>
      <c r="J44" s="4" t="s">
        <v>18</v>
      </c>
      <c r="K44" s="4" t="s">
        <v>190</v>
      </c>
      <c r="L44" s="4">
        <f>IFERROR(__xludf.DUMMYFUNCTION("VALUE(REGEXREPLACE(K44, ""[^0-9.-]"", """")) - ((VALUE(REGEXREPLACE(K44, ""[^0-9.-]"", """")) * 0.75 - 12570) * 0.2)
"),21384.0)</f>
        <v>21384</v>
      </c>
      <c r="M44" s="4" t="s">
        <v>190</v>
      </c>
      <c r="N44" s="4" t="s">
        <v>22</v>
      </c>
      <c r="O44" s="4" t="s">
        <v>22</v>
      </c>
      <c r="P44" s="4" t="s">
        <v>207</v>
      </c>
      <c r="Q44" s="4" t="s">
        <v>207</v>
      </c>
    </row>
    <row r="45">
      <c r="A45" s="5">
        <v>84.0</v>
      </c>
      <c r="B45" s="5" t="s">
        <v>79</v>
      </c>
      <c r="C45" s="6" t="s">
        <v>22</v>
      </c>
      <c r="D45" s="6" t="s">
        <v>152</v>
      </c>
      <c r="E45" s="6">
        <f t="shared" si="2"/>
        <v>49284</v>
      </c>
      <c r="F45" s="6" t="s">
        <v>92</v>
      </c>
      <c r="G45" s="6" t="s">
        <v>19</v>
      </c>
      <c r="H45" s="6" t="s">
        <v>18</v>
      </c>
      <c r="I45" s="6" t="s">
        <v>18</v>
      </c>
      <c r="J45" s="6" t="s">
        <v>18</v>
      </c>
      <c r="K45" s="6" t="s">
        <v>190</v>
      </c>
      <c r="L45" s="4">
        <f>IFERROR(__xludf.DUMMYFUNCTION("VALUE(REGEXREPLACE(K45, ""[^0-9.-]"", """")) - ((VALUE(REGEXREPLACE(K45, ""[^0-9.-]"", """")) * 0.75 - 12570) * 0.2)
"),21384.0)</f>
        <v>21384</v>
      </c>
      <c r="M45" s="6" t="s">
        <v>190</v>
      </c>
      <c r="N45" s="6" t="s">
        <v>22</v>
      </c>
      <c r="O45" s="6" t="s">
        <v>22</v>
      </c>
      <c r="P45" s="6" t="s">
        <v>208</v>
      </c>
      <c r="Q45" s="6" t="s">
        <v>208</v>
      </c>
    </row>
    <row r="46">
      <c r="A46" s="3">
        <v>85.0</v>
      </c>
      <c r="B46" s="3" t="s">
        <v>79</v>
      </c>
      <c r="C46" s="4" t="s">
        <v>22</v>
      </c>
      <c r="D46" s="4" t="s">
        <v>152</v>
      </c>
      <c r="E46" s="6">
        <f t="shared" si="2"/>
        <v>49284</v>
      </c>
      <c r="F46" s="4" t="s">
        <v>92</v>
      </c>
      <c r="G46" s="4" t="s">
        <v>19</v>
      </c>
      <c r="H46" s="4" t="s">
        <v>18</v>
      </c>
      <c r="I46" s="4" t="s">
        <v>18</v>
      </c>
      <c r="J46" s="4" t="s">
        <v>18</v>
      </c>
      <c r="K46" s="4" t="s">
        <v>190</v>
      </c>
      <c r="L46" s="4">
        <f>IFERROR(__xludf.DUMMYFUNCTION("VALUE(REGEXREPLACE(K46, ""[^0-9.-]"", """")) - ((VALUE(REGEXREPLACE(K46, ""[^0-9.-]"", """")) * 0.75 - 12570) * 0.2)
"),21384.0)</f>
        <v>21384</v>
      </c>
      <c r="M46" s="4" t="s">
        <v>190</v>
      </c>
      <c r="N46" s="4" t="s">
        <v>22</v>
      </c>
      <c r="O46" s="4" t="s">
        <v>22</v>
      </c>
      <c r="P46" s="4" t="s">
        <v>209</v>
      </c>
      <c r="Q46" s="4" t="s">
        <v>209</v>
      </c>
    </row>
    <row r="47">
      <c r="A47" s="5">
        <v>86.0</v>
      </c>
      <c r="B47" s="5" t="s">
        <v>79</v>
      </c>
      <c r="C47" s="6" t="s">
        <v>22</v>
      </c>
      <c r="D47" s="6" t="s">
        <v>152</v>
      </c>
      <c r="E47" s="6">
        <f t="shared" si="2"/>
        <v>49284</v>
      </c>
      <c r="F47" s="6" t="s">
        <v>92</v>
      </c>
      <c r="G47" s="6" t="s">
        <v>19</v>
      </c>
      <c r="H47" s="6" t="s">
        <v>18</v>
      </c>
      <c r="I47" s="6" t="s">
        <v>18</v>
      </c>
      <c r="J47" s="6" t="s">
        <v>18</v>
      </c>
      <c r="K47" s="6" t="s">
        <v>190</v>
      </c>
      <c r="L47" s="4">
        <f>IFERROR(__xludf.DUMMYFUNCTION("VALUE(REGEXREPLACE(K47, ""[^0-9.-]"", """")) - ((VALUE(REGEXREPLACE(K47, ""[^0-9.-]"", """")) * 0.75 - 12570) * 0.2)
"),21384.0)</f>
        <v>21384</v>
      </c>
      <c r="M47" s="6" t="s">
        <v>190</v>
      </c>
      <c r="N47" s="6" t="s">
        <v>22</v>
      </c>
      <c r="O47" s="6" t="s">
        <v>22</v>
      </c>
      <c r="P47" s="6" t="s">
        <v>210</v>
      </c>
      <c r="Q47" s="6" t="s">
        <v>210</v>
      </c>
    </row>
    <row r="48">
      <c r="A48" s="3">
        <v>87.0</v>
      </c>
      <c r="B48" s="3" t="s">
        <v>79</v>
      </c>
      <c r="C48" s="4" t="s">
        <v>22</v>
      </c>
      <c r="D48" s="4" t="s">
        <v>152</v>
      </c>
      <c r="E48" s="6">
        <f t="shared" si="2"/>
        <v>49284</v>
      </c>
      <c r="F48" s="4" t="s">
        <v>92</v>
      </c>
      <c r="G48" s="4" t="s">
        <v>19</v>
      </c>
      <c r="H48" s="4" t="s">
        <v>18</v>
      </c>
      <c r="I48" s="4" t="s">
        <v>18</v>
      </c>
      <c r="J48" s="4" t="s">
        <v>18</v>
      </c>
      <c r="K48" s="4" t="s">
        <v>190</v>
      </c>
      <c r="L48" s="4">
        <f>IFERROR(__xludf.DUMMYFUNCTION("VALUE(REGEXREPLACE(K48, ""[^0-9.-]"", """")) - ((VALUE(REGEXREPLACE(K48, ""[^0-9.-]"", """")) * 0.75 - 12570) * 0.2)
"),21384.0)</f>
        <v>21384</v>
      </c>
      <c r="M48" s="4" t="s">
        <v>190</v>
      </c>
      <c r="N48" s="4" t="s">
        <v>22</v>
      </c>
      <c r="O48" s="4" t="s">
        <v>22</v>
      </c>
      <c r="P48" s="4" t="s">
        <v>211</v>
      </c>
      <c r="Q48" s="4" t="s">
        <v>211</v>
      </c>
    </row>
    <row r="49">
      <c r="A49" s="5">
        <v>88.0</v>
      </c>
      <c r="B49" s="5" t="s">
        <v>79</v>
      </c>
      <c r="C49" s="6" t="s">
        <v>22</v>
      </c>
      <c r="D49" s="6" t="s">
        <v>152</v>
      </c>
      <c r="E49" s="6">
        <f t="shared" si="2"/>
        <v>49284</v>
      </c>
      <c r="F49" s="6" t="s">
        <v>92</v>
      </c>
      <c r="G49" s="6" t="s">
        <v>19</v>
      </c>
      <c r="H49" s="6" t="s">
        <v>18</v>
      </c>
      <c r="I49" s="6" t="s">
        <v>18</v>
      </c>
      <c r="J49" s="6" t="s">
        <v>18</v>
      </c>
      <c r="K49" s="6" t="s">
        <v>190</v>
      </c>
      <c r="L49" s="4">
        <f>IFERROR(__xludf.DUMMYFUNCTION("VALUE(REGEXREPLACE(K49, ""[^0-9.-]"", """")) - ((VALUE(REGEXREPLACE(K49, ""[^0-9.-]"", """")) * 0.75 - 12570) * 0.2)
"),21384.0)</f>
        <v>21384</v>
      </c>
      <c r="M49" s="6" t="s">
        <v>190</v>
      </c>
      <c r="N49" s="6" t="s">
        <v>22</v>
      </c>
      <c r="O49" s="6" t="s">
        <v>22</v>
      </c>
      <c r="P49" s="6" t="s">
        <v>212</v>
      </c>
      <c r="Q49" s="6" t="s">
        <v>212</v>
      </c>
    </row>
    <row r="50">
      <c r="A50" s="3">
        <v>89.0</v>
      </c>
      <c r="B50" s="3" t="s">
        <v>79</v>
      </c>
      <c r="C50" s="4" t="s">
        <v>22</v>
      </c>
      <c r="D50" s="4" t="s">
        <v>152</v>
      </c>
      <c r="E50" s="6">
        <f t="shared" si="2"/>
        <v>49284</v>
      </c>
      <c r="F50" s="4" t="s">
        <v>92</v>
      </c>
      <c r="G50" s="4" t="s">
        <v>19</v>
      </c>
      <c r="H50" s="4" t="s">
        <v>18</v>
      </c>
      <c r="I50" s="4" t="s">
        <v>18</v>
      </c>
      <c r="J50" s="4" t="s">
        <v>18</v>
      </c>
      <c r="K50" s="4" t="s">
        <v>190</v>
      </c>
      <c r="L50" s="4">
        <f>IFERROR(__xludf.DUMMYFUNCTION("VALUE(REGEXREPLACE(K50, ""[^0-9.-]"", """")) - ((VALUE(REGEXREPLACE(K50, ""[^0-9.-]"", """")) * 0.75 - 12570) * 0.2)
"),21384.0)</f>
        <v>21384</v>
      </c>
      <c r="M50" s="4" t="s">
        <v>190</v>
      </c>
      <c r="N50" s="4" t="s">
        <v>22</v>
      </c>
      <c r="O50" s="4" t="s">
        <v>22</v>
      </c>
      <c r="P50" s="4" t="s">
        <v>213</v>
      </c>
      <c r="Q50" s="4" t="s">
        <v>213</v>
      </c>
    </row>
    <row r="51">
      <c r="A51" s="5">
        <v>90.0</v>
      </c>
      <c r="B51" s="5" t="s">
        <v>79</v>
      </c>
      <c r="C51" s="6" t="s">
        <v>22</v>
      </c>
      <c r="D51" s="6" t="s">
        <v>152</v>
      </c>
      <c r="E51" s="6">
        <f t="shared" si="2"/>
        <v>49284</v>
      </c>
      <c r="F51" s="6" t="s">
        <v>92</v>
      </c>
      <c r="G51" s="6" t="s">
        <v>19</v>
      </c>
      <c r="H51" s="6" t="s">
        <v>18</v>
      </c>
      <c r="I51" s="6" t="s">
        <v>18</v>
      </c>
      <c r="J51" s="6" t="s">
        <v>18</v>
      </c>
      <c r="K51" s="6" t="s">
        <v>190</v>
      </c>
      <c r="L51" s="4">
        <f>IFERROR(__xludf.DUMMYFUNCTION("VALUE(REGEXREPLACE(K51, ""[^0-9.-]"", """")) - ((VALUE(REGEXREPLACE(K51, ""[^0-9.-]"", """")) * 0.75 - 12570) * 0.2)
"),21384.0)</f>
        <v>21384</v>
      </c>
      <c r="M51" s="6" t="s">
        <v>190</v>
      </c>
      <c r="N51" s="6" t="s">
        <v>22</v>
      </c>
      <c r="O51" s="6" t="s">
        <v>22</v>
      </c>
      <c r="P51" s="6" t="s">
        <v>214</v>
      </c>
      <c r="Q51" s="6" t="s">
        <v>214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38"/>
  </cols>
  <sheetData>
    <row r="1">
      <c r="A1" s="7"/>
      <c r="C1" s="7" t="s">
        <v>215</v>
      </c>
      <c r="D1" s="7" t="s">
        <v>216</v>
      </c>
    </row>
    <row r="2">
      <c r="A2" s="7" t="s">
        <v>217</v>
      </c>
      <c r="B2" s="8">
        <f>J2-J3</f>
        <v>20307</v>
      </c>
      <c r="C2" s="9">
        <v>0.028</v>
      </c>
      <c r="F2" s="7" t="s">
        <v>218</v>
      </c>
      <c r="G2" s="8">
        <v>16000.0</v>
      </c>
      <c r="I2" s="7" t="s">
        <v>219</v>
      </c>
      <c r="J2" s="8">
        <v>41307.0</v>
      </c>
    </row>
    <row r="3">
      <c r="A3" s="7" t="s">
        <v>220</v>
      </c>
      <c r="B3" s="8">
        <v>31000.0</v>
      </c>
      <c r="C3" s="10">
        <v>0.07</v>
      </c>
      <c r="F3" s="7" t="s">
        <v>221</v>
      </c>
      <c r="G3" s="8">
        <v>27450.0</v>
      </c>
      <c r="I3" s="7" t="s">
        <v>222</v>
      </c>
      <c r="J3" s="8">
        <v>21000.0</v>
      </c>
    </row>
    <row r="4">
      <c r="A4" s="7" t="s">
        <v>223</v>
      </c>
      <c r="B4" s="8">
        <v>51873.0</v>
      </c>
      <c r="C4" s="10">
        <v>0.03</v>
      </c>
      <c r="D4" s="10">
        <v>0.85</v>
      </c>
      <c r="I4" s="7" t="s">
        <v>224</v>
      </c>
      <c r="J4" s="8">
        <v>12570.0</v>
      </c>
    </row>
    <row r="5">
      <c r="A5" s="7" t="s">
        <v>225</v>
      </c>
      <c r="B5" s="8">
        <v>12547.0</v>
      </c>
      <c r="C5" s="9">
        <v>0.028</v>
      </c>
      <c r="D5" s="10">
        <v>0.8</v>
      </c>
      <c r="I5" s="7" t="s">
        <v>226</v>
      </c>
      <c r="J5" s="11">
        <f>J3-(J3-J4)*0.2</f>
        <v>19314</v>
      </c>
    </row>
    <row r="6">
      <c r="A6" s="7" t="s">
        <v>227</v>
      </c>
      <c r="B6" s="11">
        <f>K57</f>
        <v>294121.6928</v>
      </c>
    </row>
    <row r="7">
      <c r="A7" s="7" t="s">
        <v>0</v>
      </c>
      <c r="B7" s="7" t="s">
        <v>228</v>
      </c>
      <c r="C7" s="7" t="s">
        <v>229</v>
      </c>
      <c r="D7" s="7" t="s">
        <v>1</v>
      </c>
      <c r="E7" s="7" t="s">
        <v>220</v>
      </c>
      <c r="F7" s="7" t="s">
        <v>230</v>
      </c>
      <c r="G7" s="7" t="s">
        <v>223</v>
      </c>
      <c r="H7" s="7" t="s">
        <v>231</v>
      </c>
      <c r="I7" s="7" t="s">
        <v>232</v>
      </c>
      <c r="J7" s="7" t="s">
        <v>233</v>
      </c>
      <c r="K7" s="7" t="s">
        <v>234</v>
      </c>
    </row>
    <row r="8">
      <c r="A8" s="7">
        <v>41.0</v>
      </c>
      <c r="B8" s="11">
        <f>B2</f>
        <v>20307</v>
      </c>
      <c r="C8" s="12" t="str">
        <f t="shared" ref="C8:C57" si="1">IFS(
  OR(D8="Building", D8="Coasting"), "Salary", 
  D8="FI", IF(E8&gt;J8, "ISA", IF(AND(E8&lt;J8, G8*$D$4&gt;J8), "PP", IF(AND(E8&lt;J8, G8*$D$4&lt;J8, (G8*$D$4+E8)&gt;J8), "ISA+PP", "Salary"))), 
  TRUE, "Salary"
)</f>
        <v>Salary</v>
      </c>
      <c r="D8" s="7" t="s">
        <v>235</v>
      </c>
      <c r="E8" s="13">
        <f>B3</f>
        <v>31000</v>
      </c>
      <c r="F8" s="11">
        <f>G2</f>
        <v>16000</v>
      </c>
      <c r="G8" s="14">
        <f>B4</f>
        <v>51873</v>
      </c>
      <c r="H8" s="11">
        <f>G3</f>
        <v>27450</v>
      </c>
      <c r="I8" s="11">
        <f>B5*D5</f>
        <v>10037.6</v>
      </c>
      <c r="J8" s="15">
        <f t="shared" ref="J8:J35" si="2">IF(A8&gt;67, B8-I8,B8)</f>
        <v>20307</v>
      </c>
      <c r="K8" s="16">
        <f t="shared" ref="K8:K57" si="3">E8+G8</f>
        <v>82873</v>
      </c>
    </row>
    <row r="9">
      <c r="A9" s="7">
        <v>42.0</v>
      </c>
      <c r="B9" s="11">
        <f t="shared" ref="B9:B57" si="4">B8*(1+$C$2)</f>
        <v>20875.596</v>
      </c>
      <c r="C9" s="12" t="str">
        <f t="shared" si="1"/>
        <v>Salary</v>
      </c>
      <c r="D9" s="7" t="s">
        <v>235</v>
      </c>
      <c r="E9" s="13">
        <f t="shared" ref="E9:E57" si="5">E8*(1+$C$3)+F8</f>
        <v>49170</v>
      </c>
      <c r="F9" s="11">
        <f t="shared" ref="F9:F57" si="6">IFS(
  D9="Building", $G$2, 
  D9="Coasting", 0, 
  D9="FI", IF(C9="ISA+PP", -E9, IF(E9&gt;J9, -J9, 0)), 
  TRUE, 0
)</f>
        <v>16000</v>
      </c>
      <c r="G9" s="14">
        <f t="shared" ref="G9:G57" si="7">G8*(1+$C$4)+H8</f>
        <v>80879.19</v>
      </c>
      <c r="H9" s="11">
        <f>IFS(
  D9="Building", $G$3, 
  D9="Coasting", 0, 
  D9="FI", IF(C9="ISA+PP", (-(J9-E9))/$D$4, IF(E9&gt;J9, 0, IF(AND(J9&gt;E9, G9&gt;J9), -J9/$D$4, 0))), 
  TRUE, 0
)</f>
        <v>27450</v>
      </c>
      <c r="I9" s="11">
        <f t="shared" ref="I9:I57" si="8">I8*(1+$C$5)</f>
        <v>10318.6528</v>
      </c>
      <c r="J9" s="15">
        <f t="shared" si="2"/>
        <v>20875.596</v>
      </c>
      <c r="K9" s="16">
        <f t="shared" si="3"/>
        <v>130049.19</v>
      </c>
    </row>
    <row r="10">
      <c r="A10" s="7">
        <v>43.0</v>
      </c>
      <c r="B10" s="11">
        <f t="shared" si="4"/>
        <v>21460.11269</v>
      </c>
      <c r="C10" s="12" t="str">
        <f t="shared" si="1"/>
        <v>Salary</v>
      </c>
      <c r="D10" s="7" t="s">
        <v>235</v>
      </c>
      <c r="E10" s="13">
        <f t="shared" si="5"/>
        <v>68611.9</v>
      </c>
      <c r="F10" s="11">
        <f t="shared" si="6"/>
        <v>16000</v>
      </c>
      <c r="G10" s="14">
        <f t="shared" si="7"/>
        <v>110755.5657</v>
      </c>
      <c r="H10" s="11">
        <f t="shared" ref="H10:H57" si="9">IFS(D10="Building", $G$3, D10="Coasting", 0, D10="FI", IF(E10&gt;J10, 0, IF(AND(J10&gt;E10, G10&gt;J10), -J10/$D$4, 0)), TRUE, 0)</f>
        <v>27450</v>
      </c>
      <c r="I10" s="11">
        <f t="shared" si="8"/>
        <v>10607.57508</v>
      </c>
      <c r="J10" s="15">
        <f t="shared" si="2"/>
        <v>21460.11269</v>
      </c>
      <c r="K10" s="16">
        <f t="shared" si="3"/>
        <v>179367.4657</v>
      </c>
    </row>
    <row r="11">
      <c r="A11" s="7">
        <v>44.0</v>
      </c>
      <c r="B11" s="11">
        <f t="shared" si="4"/>
        <v>22060.99584</v>
      </c>
      <c r="C11" s="12" t="str">
        <f t="shared" si="1"/>
        <v>Salary</v>
      </c>
      <c r="D11" s="7" t="s">
        <v>235</v>
      </c>
      <c r="E11" s="13">
        <f t="shared" si="5"/>
        <v>89414.733</v>
      </c>
      <c r="F11" s="11">
        <f t="shared" si="6"/>
        <v>16000</v>
      </c>
      <c r="G11" s="14">
        <f t="shared" si="7"/>
        <v>141528.2327</v>
      </c>
      <c r="H11" s="11">
        <f t="shared" si="9"/>
        <v>27450</v>
      </c>
      <c r="I11" s="11">
        <f t="shared" si="8"/>
        <v>10904.58718</v>
      </c>
      <c r="J11" s="15">
        <f t="shared" si="2"/>
        <v>22060.99584</v>
      </c>
      <c r="K11" s="16">
        <f t="shared" si="3"/>
        <v>230942.9657</v>
      </c>
    </row>
    <row r="12">
      <c r="A12" s="7">
        <v>45.0</v>
      </c>
      <c r="B12" s="11">
        <f t="shared" si="4"/>
        <v>22678.70373</v>
      </c>
      <c r="C12" s="12" t="str">
        <f t="shared" si="1"/>
        <v>Salary</v>
      </c>
      <c r="D12" s="7" t="s">
        <v>235</v>
      </c>
      <c r="E12" s="13">
        <f t="shared" si="5"/>
        <v>111673.7643</v>
      </c>
      <c r="F12" s="11">
        <f t="shared" si="6"/>
        <v>16000</v>
      </c>
      <c r="G12" s="14">
        <f t="shared" si="7"/>
        <v>173224.0797</v>
      </c>
      <c r="H12" s="11">
        <f t="shared" si="9"/>
        <v>27450</v>
      </c>
      <c r="I12" s="11">
        <f t="shared" si="8"/>
        <v>11209.91562</v>
      </c>
      <c r="J12" s="15">
        <f t="shared" si="2"/>
        <v>22678.70373</v>
      </c>
      <c r="K12" s="16">
        <f t="shared" si="3"/>
        <v>284897.844</v>
      </c>
    </row>
    <row r="13">
      <c r="A13" s="7">
        <v>46.0</v>
      </c>
      <c r="B13" s="11">
        <f t="shared" si="4"/>
        <v>23313.70743</v>
      </c>
      <c r="C13" s="12" t="str">
        <f t="shared" si="1"/>
        <v>Salary</v>
      </c>
      <c r="D13" s="7" t="s">
        <v>235</v>
      </c>
      <c r="E13" s="13">
        <f t="shared" si="5"/>
        <v>135490.9278</v>
      </c>
      <c r="F13" s="11">
        <f t="shared" si="6"/>
        <v>16000</v>
      </c>
      <c r="G13" s="14">
        <f t="shared" si="7"/>
        <v>205870.802</v>
      </c>
      <c r="H13" s="11">
        <f t="shared" si="9"/>
        <v>27450</v>
      </c>
      <c r="I13" s="11">
        <f t="shared" si="8"/>
        <v>11523.79326</v>
      </c>
      <c r="J13" s="15">
        <f t="shared" si="2"/>
        <v>23313.70743</v>
      </c>
      <c r="K13" s="16">
        <f t="shared" si="3"/>
        <v>341361.7299</v>
      </c>
    </row>
    <row r="14">
      <c r="A14" s="7">
        <v>47.0</v>
      </c>
      <c r="B14" s="11">
        <f t="shared" si="4"/>
        <v>23966.49124</v>
      </c>
      <c r="C14" s="12" t="str">
        <f t="shared" si="1"/>
        <v>Salary</v>
      </c>
      <c r="D14" s="7" t="s">
        <v>236</v>
      </c>
      <c r="E14" s="13">
        <f t="shared" si="5"/>
        <v>160975.2928</v>
      </c>
      <c r="F14" s="11">
        <f t="shared" si="6"/>
        <v>0</v>
      </c>
      <c r="G14" s="14">
        <f t="shared" si="7"/>
        <v>239496.9261</v>
      </c>
      <c r="H14" s="11">
        <f t="shared" si="9"/>
        <v>0</v>
      </c>
      <c r="I14" s="11">
        <f t="shared" si="8"/>
        <v>11846.45947</v>
      </c>
      <c r="J14" s="15">
        <f t="shared" si="2"/>
        <v>23966.49124</v>
      </c>
      <c r="K14" s="16">
        <f t="shared" si="3"/>
        <v>400472.2189</v>
      </c>
    </row>
    <row r="15">
      <c r="A15" s="7">
        <v>48.0</v>
      </c>
      <c r="B15" s="11">
        <f t="shared" si="4"/>
        <v>24637.55299</v>
      </c>
      <c r="C15" s="12" t="str">
        <f t="shared" si="1"/>
        <v>Salary</v>
      </c>
      <c r="D15" s="7" t="s">
        <v>236</v>
      </c>
      <c r="E15" s="13">
        <f t="shared" si="5"/>
        <v>172243.5633</v>
      </c>
      <c r="F15" s="11">
        <f t="shared" si="6"/>
        <v>0</v>
      </c>
      <c r="G15" s="14">
        <f t="shared" si="7"/>
        <v>246681.8339</v>
      </c>
      <c r="H15" s="11">
        <f t="shared" si="9"/>
        <v>0</v>
      </c>
      <c r="I15" s="11">
        <f t="shared" si="8"/>
        <v>12178.16034</v>
      </c>
      <c r="J15" s="15">
        <f t="shared" si="2"/>
        <v>24637.55299</v>
      </c>
      <c r="K15" s="16">
        <f t="shared" si="3"/>
        <v>418925.3971</v>
      </c>
    </row>
    <row r="16">
      <c r="A16" s="7">
        <v>49.0</v>
      </c>
      <c r="B16" s="11">
        <f t="shared" si="4"/>
        <v>25327.40448</v>
      </c>
      <c r="C16" s="12" t="str">
        <f t="shared" si="1"/>
        <v>Salary</v>
      </c>
      <c r="D16" s="7" t="s">
        <v>236</v>
      </c>
      <c r="E16" s="13">
        <f t="shared" si="5"/>
        <v>184300.6127</v>
      </c>
      <c r="F16" s="11">
        <f t="shared" si="6"/>
        <v>0</v>
      </c>
      <c r="G16" s="14">
        <f t="shared" si="7"/>
        <v>254082.2889</v>
      </c>
      <c r="H16" s="11">
        <f t="shared" si="9"/>
        <v>0</v>
      </c>
      <c r="I16" s="11">
        <f t="shared" si="8"/>
        <v>12519.14882</v>
      </c>
      <c r="J16" s="15">
        <f t="shared" si="2"/>
        <v>25327.40448</v>
      </c>
      <c r="K16" s="16">
        <f t="shared" si="3"/>
        <v>438382.9016</v>
      </c>
    </row>
    <row r="17">
      <c r="A17" s="7">
        <v>50.0</v>
      </c>
      <c r="B17" s="11">
        <f t="shared" si="4"/>
        <v>26036.5718</v>
      </c>
      <c r="C17" s="12" t="str">
        <f t="shared" si="1"/>
        <v>Salary</v>
      </c>
      <c r="D17" s="7" t="s">
        <v>236</v>
      </c>
      <c r="E17" s="13">
        <f t="shared" si="5"/>
        <v>197201.6556</v>
      </c>
      <c r="F17" s="11">
        <f t="shared" si="6"/>
        <v>0</v>
      </c>
      <c r="G17" s="14">
        <f t="shared" si="7"/>
        <v>261704.7576</v>
      </c>
      <c r="H17" s="11">
        <f t="shared" si="9"/>
        <v>0</v>
      </c>
      <c r="I17" s="11">
        <f t="shared" si="8"/>
        <v>12869.68499</v>
      </c>
      <c r="J17" s="15">
        <f t="shared" si="2"/>
        <v>26036.5718</v>
      </c>
      <c r="K17" s="16">
        <f t="shared" si="3"/>
        <v>458906.4131</v>
      </c>
    </row>
    <row r="18">
      <c r="A18" s="7">
        <v>51.0</v>
      </c>
      <c r="B18" s="11">
        <f t="shared" si="4"/>
        <v>26765.59581</v>
      </c>
      <c r="C18" s="12" t="str">
        <f t="shared" si="1"/>
        <v>Salary</v>
      </c>
      <c r="D18" s="7" t="s">
        <v>236</v>
      </c>
      <c r="E18" s="13">
        <f t="shared" si="5"/>
        <v>211005.7715</v>
      </c>
      <c r="F18" s="11">
        <f t="shared" si="6"/>
        <v>0</v>
      </c>
      <c r="G18" s="14">
        <f t="shared" si="7"/>
        <v>269555.9003</v>
      </c>
      <c r="H18" s="11">
        <f t="shared" si="9"/>
        <v>0</v>
      </c>
      <c r="I18" s="11">
        <f t="shared" si="8"/>
        <v>13230.03617</v>
      </c>
      <c r="J18" s="15">
        <f t="shared" si="2"/>
        <v>26765.59581</v>
      </c>
      <c r="K18" s="16">
        <f t="shared" si="3"/>
        <v>480561.6718</v>
      </c>
    </row>
    <row r="19">
      <c r="A19" s="7">
        <v>52.0</v>
      </c>
      <c r="B19" s="11">
        <f t="shared" si="4"/>
        <v>27515.0325</v>
      </c>
      <c r="C19" s="12" t="str">
        <f t="shared" si="1"/>
        <v>Salary</v>
      </c>
      <c r="D19" s="7" t="s">
        <v>236</v>
      </c>
      <c r="E19" s="13">
        <f t="shared" si="5"/>
        <v>225776.1755</v>
      </c>
      <c r="F19" s="11">
        <f t="shared" si="6"/>
        <v>0</v>
      </c>
      <c r="G19" s="14">
        <f t="shared" si="7"/>
        <v>277642.5773</v>
      </c>
      <c r="H19" s="11">
        <f t="shared" si="9"/>
        <v>0</v>
      </c>
      <c r="I19" s="11">
        <f t="shared" si="8"/>
        <v>13600.47718</v>
      </c>
      <c r="J19" s="15">
        <f t="shared" si="2"/>
        <v>27515.0325</v>
      </c>
      <c r="K19" s="16">
        <f t="shared" si="3"/>
        <v>503418.7528</v>
      </c>
    </row>
    <row r="20">
      <c r="A20" s="7">
        <v>53.0</v>
      </c>
      <c r="B20" s="11">
        <f t="shared" si="4"/>
        <v>28285.45341</v>
      </c>
      <c r="C20" s="12" t="str">
        <f t="shared" si="1"/>
        <v>Salary</v>
      </c>
      <c r="D20" s="7" t="s">
        <v>236</v>
      </c>
      <c r="E20" s="13">
        <f t="shared" si="5"/>
        <v>241580.5077</v>
      </c>
      <c r="F20" s="11">
        <f t="shared" si="6"/>
        <v>0</v>
      </c>
      <c r="G20" s="14">
        <f t="shared" si="7"/>
        <v>285971.8546</v>
      </c>
      <c r="H20" s="11">
        <f t="shared" si="9"/>
        <v>0</v>
      </c>
      <c r="I20" s="11">
        <f t="shared" si="8"/>
        <v>13981.29055</v>
      </c>
      <c r="J20" s="15">
        <f t="shared" si="2"/>
        <v>28285.45341</v>
      </c>
      <c r="K20" s="16">
        <f t="shared" si="3"/>
        <v>527552.3624</v>
      </c>
    </row>
    <row r="21">
      <c r="A21" s="7">
        <v>54.0</v>
      </c>
      <c r="B21" s="11">
        <f t="shared" si="4"/>
        <v>29077.4461</v>
      </c>
      <c r="C21" s="12" t="str">
        <f t="shared" si="1"/>
        <v>Salary</v>
      </c>
      <c r="D21" s="7" t="s">
        <v>236</v>
      </c>
      <c r="E21" s="13">
        <f t="shared" si="5"/>
        <v>258491.1433</v>
      </c>
      <c r="F21" s="11">
        <f t="shared" si="6"/>
        <v>0</v>
      </c>
      <c r="G21" s="14">
        <f t="shared" si="7"/>
        <v>294551.0103</v>
      </c>
      <c r="H21" s="11">
        <f t="shared" si="9"/>
        <v>0</v>
      </c>
      <c r="I21" s="11">
        <f t="shared" si="8"/>
        <v>14372.76668</v>
      </c>
      <c r="J21" s="15">
        <f t="shared" si="2"/>
        <v>29077.4461</v>
      </c>
      <c r="K21" s="16">
        <f t="shared" si="3"/>
        <v>553042.1535</v>
      </c>
    </row>
    <row r="22">
      <c r="A22" s="7">
        <v>55.0</v>
      </c>
      <c r="B22" s="11">
        <f t="shared" si="4"/>
        <v>29891.61459</v>
      </c>
      <c r="C22" s="12" t="str">
        <f t="shared" si="1"/>
        <v>Salary</v>
      </c>
      <c r="D22" s="7" t="s">
        <v>236</v>
      </c>
      <c r="E22" s="13">
        <f t="shared" si="5"/>
        <v>276585.5233</v>
      </c>
      <c r="F22" s="11">
        <f t="shared" si="6"/>
        <v>0</v>
      </c>
      <c r="G22" s="14">
        <f t="shared" si="7"/>
        <v>303387.5406</v>
      </c>
      <c r="H22" s="11">
        <f t="shared" si="9"/>
        <v>0</v>
      </c>
      <c r="I22" s="11">
        <f t="shared" si="8"/>
        <v>14775.20415</v>
      </c>
      <c r="J22" s="15">
        <f t="shared" si="2"/>
        <v>29891.61459</v>
      </c>
      <c r="K22" s="16">
        <f t="shared" si="3"/>
        <v>579973.0639</v>
      </c>
    </row>
    <row r="23">
      <c r="A23" s="7">
        <v>56.0</v>
      </c>
      <c r="B23" s="11">
        <f t="shared" si="4"/>
        <v>30728.5798</v>
      </c>
      <c r="C23" s="12" t="str">
        <f t="shared" si="1"/>
        <v>Salary</v>
      </c>
      <c r="D23" s="7" t="s">
        <v>236</v>
      </c>
      <c r="E23" s="13">
        <f t="shared" si="5"/>
        <v>295946.5099</v>
      </c>
      <c r="F23" s="11">
        <f t="shared" si="6"/>
        <v>0</v>
      </c>
      <c r="G23" s="14">
        <f t="shared" si="7"/>
        <v>312489.1668</v>
      </c>
      <c r="H23" s="11">
        <f t="shared" si="9"/>
        <v>0</v>
      </c>
      <c r="I23" s="11">
        <f t="shared" si="8"/>
        <v>15188.90986</v>
      </c>
      <c r="J23" s="15">
        <f t="shared" si="2"/>
        <v>30728.5798</v>
      </c>
      <c r="K23" s="16">
        <f t="shared" si="3"/>
        <v>608435.6767</v>
      </c>
    </row>
    <row r="24">
      <c r="A24" s="7">
        <v>57.0</v>
      </c>
      <c r="B24" s="11">
        <f t="shared" si="4"/>
        <v>31588.98004</v>
      </c>
      <c r="C24" s="12" t="str">
        <f t="shared" si="1"/>
        <v>Salary</v>
      </c>
      <c r="D24" s="7" t="s">
        <v>236</v>
      </c>
      <c r="E24" s="13">
        <f t="shared" si="5"/>
        <v>316662.7656</v>
      </c>
      <c r="F24" s="11">
        <f t="shared" si="6"/>
        <v>0</v>
      </c>
      <c r="G24" s="14">
        <f t="shared" si="7"/>
        <v>321863.8418</v>
      </c>
      <c r="H24" s="11">
        <f t="shared" si="9"/>
        <v>0</v>
      </c>
      <c r="I24" s="11">
        <f t="shared" si="8"/>
        <v>15614.19934</v>
      </c>
      <c r="J24" s="15">
        <f t="shared" si="2"/>
        <v>31588.98004</v>
      </c>
      <c r="K24" s="16">
        <f t="shared" si="3"/>
        <v>638526.6074</v>
      </c>
    </row>
    <row r="25">
      <c r="A25" s="7">
        <v>58.0</v>
      </c>
      <c r="B25" s="11">
        <f t="shared" si="4"/>
        <v>32473.47148</v>
      </c>
      <c r="C25" s="12" t="str">
        <f t="shared" si="1"/>
        <v>ISA</v>
      </c>
      <c r="D25" s="7" t="s">
        <v>237</v>
      </c>
      <c r="E25" s="13">
        <f t="shared" si="5"/>
        <v>338829.1592</v>
      </c>
      <c r="F25" s="11">
        <f t="shared" si="6"/>
        <v>-32473.47148</v>
      </c>
      <c r="G25" s="14">
        <f t="shared" si="7"/>
        <v>331519.757</v>
      </c>
      <c r="H25" s="11">
        <f t="shared" si="9"/>
        <v>0</v>
      </c>
      <c r="I25" s="11">
        <f t="shared" si="8"/>
        <v>16051.39692</v>
      </c>
      <c r="J25" s="15">
        <f t="shared" si="2"/>
        <v>32473.47148</v>
      </c>
      <c r="K25" s="16">
        <f t="shared" si="3"/>
        <v>670348.9163</v>
      </c>
    </row>
    <row r="26">
      <c r="A26" s="7">
        <v>59.0</v>
      </c>
      <c r="B26" s="11">
        <f t="shared" si="4"/>
        <v>33382.72868</v>
      </c>
      <c r="C26" s="12" t="str">
        <f t="shared" si="1"/>
        <v>ISA</v>
      </c>
      <c r="D26" s="7" t="s">
        <v>237</v>
      </c>
      <c r="E26" s="13">
        <f t="shared" si="5"/>
        <v>330073.7289</v>
      </c>
      <c r="F26" s="11">
        <f t="shared" si="6"/>
        <v>-33382.72868</v>
      </c>
      <c r="G26" s="14">
        <f t="shared" si="7"/>
        <v>341465.3498</v>
      </c>
      <c r="H26" s="11">
        <f t="shared" si="9"/>
        <v>0</v>
      </c>
      <c r="I26" s="11">
        <f t="shared" si="8"/>
        <v>16500.83604</v>
      </c>
      <c r="J26" s="15">
        <f t="shared" si="2"/>
        <v>33382.72868</v>
      </c>
      <c r="K26" s="16">
        <f t="shared" si="3"/>
        <v>671539.0787</v>
      </c>
    </row>
    <row r="27">
      <c r="A27" s="7">
        <v>60.0</v>
      </c>
      <c r="B27" s="11">
        <f t="shared" si="4"/>
        <v>34317.44508</v>
      </c>
      <c r="C27" s="12" t="str">
        <f t="shared" si="1"/>
        <v>ISA</v>
      </c>
      <c r="D27" s="7" t="s">
        <v>237</v>
      </c>
      <c r="E27" s="13">
        <f t="shared" si="5"/>
        <v>319796.1612</v>
      </c>
      <c r="F27" s="11">
        <f t="shared" si="6"/>
        <v>-34317.44508</v>
      </c>
      <c r="G27" s="14">
        <f t="shared" si="7"/>
        <v>351709.3102</v>
      </c>
      <c r="H27" s="11">
        <f t="shared" si="9"/>
        <v>0</v>
      </c>
      <c r="I27" s="11">
        <f t="shared" si="8"/>
        <v>16962.85944</v>
      </c>
      <c r="J27" s="15">
        <f t="shared" si="2"/>
        <v>34317.44508</v>
      </c>
      <c r="K27" s="16">
        <f t="shared" si="3"/>
        <v>671505.4715</v>
      </c>
    </row>
    <row r="28">
      <c r="A28" s="7">
        <v>61.0</v>
      </c>
      <c r="B28" s="11">
        <f t="shared" si="4"/>
        <v>35278.33354</v>
      </c>
      <c r="C28" s="12" t="str">
        <f t="shared" si="1"/>
        <v>ISA</v>
      </c>
      <c r="D28" s="7" t="s">
        <v>237</v>
      </c>
      <c r="E28" s="13">
        <f t="shared" si="5"/>
        <v>307864.4475</v>
      </c>
      <c r="F28" s="11">
        <f t="shared" si="6"/>
        <v>-35278.33354</v>
      </c>
      <c r="G28" s="14">
        <f t="shared" si="7"/>
        <v>362260.5896</v>
      </c>
      <c r="H28" s="11">
        <f t="shared" si="9"/>
        <v>0</v>
      </c>
      <c r="I28" s="11">
        <f t="shared" si="8"/>
        <v>17437.81951</v>
      </c>
      <c r="J28" s="15">
        <f t="shared" si="2"/>
        <v>35278.33354</v>
      </c>
      <c r="K28" s="16">
        <f t="shared" si="3"/>
        <v>670125.037</v>
      </c>
    </row>
    <row r="29">
      <c r="A29" s="7">
        <v>62.0</v>
      </c>
      <c r="B29" s="11">
        <f t="shared" si="4"/>
        <v>36266.12688</v>
      </c>
      <c r="C29" s="12" t="str">
        <f t="shared" si="1"/>
        <v>ISA</v>
      </c>
      <c r="D29" s="7" t="s">
        <v>237</v>
      </c>
      <c r="E29" s="13">
        <f t="shared" si="5"/>
        <v>294136.6252</v>
      </c>
      <c r="F29" s="11">
        <f t="shared" si="6"/>
        <v>-36266.12688</v>
      </c>
      <c r="G29" s="14">
        <f t="shared" si="7"/>
        <v>373128.4072</v>
      </c>
      <c r="H29" s="11">
        <f t="shared" si="9"/>
        <v>0</v>
      </c>
      <c r="I29" s="11">
        <f t="shared" si="8"/>
        <v>17926.07846</v>
      </c>
      <c r="J29" s="15">
        <f t="shared" si="2"/>
        <v>36266.12688</v>
      </c>
      <c r="K29" s="16">
        <f t="shared" si="3"/>
        <v>667265.0325</v>
      </c>
    </row>
    <row r="30">
      <c r="A30" s="7">
        <v>63.0</v>
      </c>
      <c r="B30" s="11">
        <f t="shared" si="4"/>
        <v>37281.57844</v>
      </c>
      <c r="C30" s="12" t="str">
        <f t="shared" si="1"/>
        <v>ISA</v>
      </c>
      <c r="D30" s="7" t="s">
        <v>237</v>
      </c>
      <c r="E30" s="13">
        <f t="shared" si="5"/>
        <v>278460.0621</v>
      </c>
      <c r="F30" s="11">
        <f t="shared" si="6"/>
        <v>-37281.57844</v>
      </c>
      <c r="G30" s="14">
        <f t="shared" si="7"/>
        <v>384322.2595</v>
      </c>
      <c r="H30" s="11">
        <f t="shared" si="9"/>
        <v>0</v>
      </c>
      <c r="I30" s="11">
        <f t="shared" si="8"/>
        <v>18428.00865</v>
      </c>
      <c r="J30" s="15">
        <f t="shared" si="2"/>
        <v>37281.57844</v>
      </c>
      <c r="K30" s="16">
        <f t="shared" si="3"/>
        <v>662782.3216</v>
      </c>
    </row>
    <row r="31">
      <c r="A31" s="7">
        <v>64.0</v>
      </c>
      <c r="B31" s="11">
        <f t="shared" si="4"/>
        <v>38325.46263</v>
      </c>
      <c r="C31" s="12" t="str">
        <f t="shared" si="1"/>
        <v>ISA</v>
      </c>
      <c r="D31" s="7" t="s">
        <v>237</v>
      </c>
      <c r="E31" s="13">
        <f t="shared" si="5"/>
        <v>260670.688</v>
      </c>
      <c r="F31" s="11">
        <f t="shared" si="6"/>
        <v>-38325.46263</v>
      </c>
      <c r="G31" s="14">
        <f t="shared" si="7"/>
        <v>395851.9272</v>
      </c>
      <c r="H31" s="11">
        <f t="shared" si="9"/>
        <v>0</v>
      </c>
      <c r="I31" s="11">
        <f t="shared" si="8"/>
        <v>18943.99289</v>
      </c>
      <c r="J31" s="15">
        <f t="shared" si="2"/>
        <v>38325.46263</v>
      </c>
      <c r="K31" s="16">
        <f t="shared" si="3"/>
        <v>656522.6153</v>
      </c>
    </row>
    <row r="32">
      <c r="A32" s="7">
        <v>65.0</v>
      </c>
      <c r="B32" s="11">
        <f t="shared" si="4"/>
        <v>39398.57559</v>
      </c>
      <c r="C32" s="12" t="str">
        <f t="shared" si="1"/>
        <v>ISA</v>
      </c>
      <c r="D32" s="7" t="s">
        <v>237</v>
      </c>
      <c r="E32" s="13">
        <f t="shared" si="5"/>
        <v>240592.1736</v>
      </c>
      <c r="F32" s="11">
        <f t="shared" si="6"/>
        <v>-39398.57559</v>
      </c>
      <c r="G32" s="14">
        <f t="shared" si="7"/>
        <v>407727.4851</v>
      </c>
      <c r="H32" s="11">
        <f t="shared" si="9"/>
        <v>0</v>
      </c>
      <c r="I32" s="11">
        <f t="shared" si="8"/>
        <v>19474.4247</v>
      </c>
      <c r="J32" s="15">
        <f t="shared" si="2"/>
        <v>39398.57559</v>
      </c>
      <c r="K32" s="16">
        <f t="shared" si="3"/>
        <v>648319.6586</v>
      </c>
    </row>
    <row r="33">
      <c r="A33" s="7">
        <v>66.0</v>
      </c>
      <c r="B33" s="11">
        <f t="shared" si="4"/>
        <v>40501.7357</v>
      </c>
      <c r="C33" s="12" t="str">
        <f t="shared" si="1"/>
        <v>ISA</v>
      </c>
      <c r="D33" s="7" t="s">
        <v>237</v>
      </c>
      <c r="E33" s="13">
        <f t="shared" si="5"/>
        <v>218035.0501</v>
      </c>
      <c r="F33" s="11">
        <f t="shared" si="6"/>
        <v>-40501.7357</v>
      </c>
      <c r="G33" s="14">
        <f t="shared" si="7"/>
        <v>419959.3096</v>
      </c>
      <c r="H33" s="11">
        <f t="shared" si="9"/>
        <v>0</v>
      </c>
      <c r="I33" s="11">
        <f t="shared" si="8"/>
        <v>20019.70859</v>
      </c>
      <c r="J33" s="15">
        <f t="shared" si="2"/>
        <v>40501.7357</v>
      </c>
      <c r="K33" s="16">
        <f t="shared" si="3"/>
        <v>637994.3597</v>
      </c>
    </row>
    <row r="34">
      <c r="A34" s="7">
        <v>67.0</v>
      </c>
      <c r="B34" s="11">
        <f t="shared" si="4"/>
        <v>41635.7843</v>
      </c>
      <c r="C34" s="12" t="str">
        <f t="shared" si="1"/>
        <v>ISA</v>
      </c>
      <c r="D34" s="7" t="s">
        <v>237</v>
      </c>
      <c r="E34" s="13">
        <f t="shared" si="5"/>
        <v>192795.7679</v>
      </c>
      <c r="F34" s="11">
        <f t="shared" si="6"/>
        <v>-41635.7843</v>
      </c>
      <c r="G34" s="14">
        <f t="shared" si="7"/>
        <v>432558.0889</v>
      </c>
      <c r="H34" s="11">
        <f t="shared" si="9"/>
        <v>0</v>
      </c>
      <c r="I34" s="11">
        <f t="shared" si="8"/>
        <v>20580.26043</v>
      </c>
      <c r="J34" s="15">
        <f t="shared" si="2"/>
        <v>41635.7843</v>
      </c>
      <c r="K34" s="16">
        <f t="shared" si="3"/>
        <v>625353.8568</v>
      </c>
    </row>
    <row r="35">
      <c r="A35" s="7">
        <v>68.0</v>
      </c>
      <c r="B35" s="11">
        <f t="shared" si="4"/>
        <v>42801.58626</v>
      </c>
      <c r="C35" s="12" t="str">
        <f t="shared" si="1"/>
        <v>ISA</v>
      </c>
      <c r="D35" s="7" t="s">
        <v>237</v>
      </c>
      <c r="E35" s="13">
        <f t="shared" si="5"/>
        <v>164655.6874</v>
      </c>
      <c r="F35" s="11">
        <f t="shared" si="6"/>
        <v>-21645.07854</v>
      </c>
      <c r="G35" s="14">
        <f t="shared" si="7"/>
        <v>445534.8316</v>
      </c>
      <c r="H35" s="11">
        <f t="shared" si="9"/>
        <v>0</v>
      </c>
      <c r="I35" s="11">
        <f t="shared" si="8"/>
        <v>21156.50772</v>
      </c>
      <c r="J35" s="15">
        <f t="shared" si="2"/>
        <v>21645.07854</v>
      </c>
      <c r="K35" s="16">
        <f t="shared" si="3"/>
        <v>610190.519</v>
      </c>
    </row>
    <row r="36">
      <c r="A36" s="7">
        <v>69.0</v>
      </c>
      <c r="B36" s="11">
        <f t="shared" si="4"/>
        <v>44000.03068</v>
      </c>
      <c r="C36" s="12" t="str">
        <f t="shared" si="1"/>
        <v>ISA</v>
      </c>
      <c r="D36" s="7" t="s">
        <v>237</v>
      </c>
      <c r="E36" s="13">
        <f t="shared" si="5"/>
        <v>154536.507</v>
      </c>
      <c r="F36" s="11">
        <f t="shared" si="6"/>
        <v>-22251.14074</v>
      </c>
      <c r="G36" s="14">
        <f t="shared" si="7"/>
        <v>458900.8765</v>
      </c>
      <c r="H36" s="11">
        <f t="shared" si="9"/>
        <v>0</v>
      </c>
      <c r="I36" s="11">
        <f t="shared" si="8"/>
        <v>21748.88994</v>
      </c>
      <c r="J36" s="15">
        <f t="shared" ref="J36:J57" si="10">IF(A36&gt;67, B36-I36,0)</f>
        <v>22251.14074</v>
      </c>
      <c r="K36" s="16">
        <f t="shared" si="3"/>
        <v>613437.3835</v>
      </c>
    </row>
    <row r="37">
      <c r="A37" s="7">
        <v>70.0</v>
      </c>
      <c r="B37" s="11">
        <f t="shared" si="4"/>
        <v>45232.03154</v>
      </c>
      <c r="C37" s="12" t="str">
        <f t="shared" si="1"/>
        <v>ISA</v>
      </c>
      <c r="D37" s="7" t="s">
        <v>237</v>
      </c>
      <c r="E37" s="13">
        <f t="shared" si="5"/>
        <v>143102.9217</v>
      </c>
      <c r="F37" s="11">
        <f t="shared" si="6"/>
        <v>-22874.17268</v>
      </c>
      <c r="G37" s="14">
        <f t="shared" si="7"/>
        <v>472667.9028</v>
      </c>
      <c r="H37" s="11">
        <f t="shared" si="9"/>
        <v>0</v>
      </c>
      <c r="I37" s="11">
        <f t="shared" si="8"/>
        <v>22357.85885</v>
      </c>
      <c r="J37" s="15">
        <f t="shared" si="10"/>
        <v>22874.17268</v>
      </c>
      <c r="K37" s="16">
        <f t="shared" si="3"/>
        <v>615770.8245</v>
      </c>
    </row>
    <row r="38">
      <c r="A38" s="7">
        <v>71.0</v>
      </c>
      <c r="B38" s="11">
        <f t="shared" si="4"/>
        <v>46498.52842</v>
      </c>
      <c r="C38" s="12" t="str">
        <f t="shared" si="1"/>
        <v>ISA</v>
      </c>
      <c r="D38" s="7" t="s">
        <v>237</v>
      </c>
      <c r="E38" s="13">
        <f t="shared" si="5"/>
        <v>130245.9535</v>
      </c>
      <c r="F38" s="11">
        <f t="shared" si="6"/>
        <v>-23514.64952</v>
      </c>
      <c r="G38" s="14">
        <f t="shared" si="7"/>
        <v>486847.9399</v>
      </c>
      <c r="H38" s="11">
        <f t="shared" si="9"/>
        <v>0</v>
      </c>
      <c r="I38" s="11">
        <f t="shared" si="8"/>
        <v>22983.8789</v>
      </c>
      <c r="J38" s="15">
        <f t="shared" si="10"/>
        <v>23514.64952</v>
      </c>
      <c r="K38" s="16">
        <f t="shared" si="3"/>
        <v>617093.8934</v>
      </c>
    </row>
    <row r="39">
      <c r="A39" s="7">
        <v>72.0</v>
      </c>
      <c r="B39" s="11">
        <f t="shared" si="4"/>
        <v>47800.48721</v>
      </c>
      <c r="C39" s="12" t="str">
        <f t="shared" si="1"/>
        <v>ISA</v>
      </c>
      <c r="D39" s="7" t="s">
        <v>237</v>
      </c>
      <c r="E39" s="13">
        <f t="shared" si="5"/>
        <v>115848.5208</v>
      </c>
      <c r="F39" s="11">
        <f t="shared" si="6"/>
        <v>-24173.0597</v>
      </c>
      <c r="G39" s="14">
        <f t="shared" si="7"/>
        <v>501453.3781</v>
      </c>
      <c r="H39" s="11">
        <f t="shared" si="9"/>
        <v>0</v>
      </c>
      <c r="I39" s="11">
        <f t="shared" si="8"/>
        <v>23627.42751</v>
      </c>
      <c r="J39" s="15">
        <f t="shared" si="10"/>
        <v>24173.0597</v>
      </c>
      <c r="K39" s="16">
        <f t="shared" si="3"/>
        <v>617301.8989</v>
      </c>
    </row>
    <row r="40">
      <c r="A40" s="7">
        <v>73.0</v>
      </c>
      <c r="B40" s="11">
        <f t="shared" si="4"/>
        <v>49138.90086</v>
      </c>
      <c r="C40" s="12" t="str">
        <f t="shared" si="1"/>
        <v>ISA</v>
      </c>
      <c r="D40" s="7" t="s">
        <v>237</v>
      </c>
      <c r="E40" s="13">
        <f t="shared" si="5"/>
        <v>99784.85753</v>
      </c>
      <c r="F40" s="11">
        <f t="shared" si="6"/>
        <v>-24849.90538</v>
      </c>
      <c r="G40" s="14">
        <f t="shared" si="7"/>
        <v>516496.9794</v>
      </c>
      <c r="H40" s="11">
        <f t="shared" si="9"/>
        <v>0</v>
      </c>
      <c r="I40" s="11">
        <f t="shared" si="8"/>
        <v>24288.99548</v>
      </c>
      <c r="J40" s="15">
        <f t="shared" si="10"/>
        <v>24849.90538</v>
      </c>
      <c r="K40" s="16">
        <f t="shared" si="3"/>
        <v>616281.837</v>
      </c>
    </row>
    <row r="41">
      <c r="A41" s="7">
        <v>74.0</v>
      </c>
      <c r="B41" s="11">
        <f t="shared" si="4"/>
        <v>50514.79008</v>
      </c>
      <c r="C41" s="12" t="str">
        <f t="shared" si="1"/>
        <v>ISA</v>
      </c>
      <c r="D41" s="7" t="s">
        <v>237</v>
      </c>
      <c r="E41" s="13">
        <f t="shared" si="5"/>
        <v>81919.89218</v>
      </c>
      <c r="F41" s="11">
        <f t="shared" si="6"/>
        <v>-25545.70273</v>
      </c>
      <c r="G41" s="14">
        <f t="shared" si="7"/>
        <v>531991.8888</v>
      </c>
      <c r="H41" s="11">
        <f t="shared" si="9"/>
        <v>0</v>
      </c>
      <c r="I41" s="11">
        <f t="shared" si="8"/>
        <v>24969.08735</v>
      </c>
      <c r="J41" s="15">
        <f t="shared" si="10"/>
        <v>25545.70273</v>
      </c>
      <c r="K41" s="16">
        <f t="shared" si="3"/>
        <v>613911.781</v>
      </c>
    </row>
    <row r="42">
      <c r="A42" s="7">
        <v>75.0</v>
      </c>
      <c r="B42" s="11">
        <f t="shared" si="4"/>
        <v>51929.2042</v>
      </c>
      <c r="C42" s="12" t="str">
        <f t="shared" si="1"/>
        <v>ISA</v>
      </c>
      <c r="D42" s="7" t="s">
        <v>237</v>
      </c>
      <c r="E42" s="13">
        <f t="shared" si="5"/>
        <v>62108.58191</v>
      </c>
      <c r="F42" s="11">
        <f t="shared" si="6"/>
        <v>-26260.9824</v>
      </c>
      <c r="G42" s="14">
        <f t="shared" si="7"/>
        <v>547951.6455</v>
      </c>
      <c r="H42" s="11">
        <f t="shared" si="9"/>
        <v>0</v>
      </c>
      <c r="I42" s="11">
        <f t="shared" si="8"/>
        <v>25668.2218</v>
      </c>
      <c r="J42" s="15">
        <f t="shared" si="10"/>
        <v>26260.9824</v>
      </c>
      <c r="K42" s="16">
        <f t="shared" si="3"/>
        <v>610060.2274</v>
      </c>
    </row>
    <row r="43">
      <c r="A43" s="7">
        <v>76.0</v>
      </c>
      <c r="B43" s="11">
        <f t="shared" si="4"/>
        <v>53383.22192</v>
      </c>
      <c r="C43" s="12" t="str">
        <f t="shared" si="1"/>
        <v>ISA</v>
      </c>
      <c r="D43" s="7" t="s">
        <v>237</v>
      </c>
      <c r="E43" s="13">
        <f t="shared" si="5"/>
        <v>40195.20024</v>
      </c>
      <c r="F43" s="11">
        <f t="shared" si="6"/>
        <v>-26996.28991</v>
      </c>
      <c r="G43" s="14">
        <f t="shared" si="7"/>
        <v>564390.1948</v>
      </c>
      <c r="H43" s="11">
        <f t="shared" si="9"/>
        <v>0</v>
      </c>
      <c r="I43" s="11">
        <f t="shared" si="8"/>
        <v>26386.93201</v>
      </c>
      <c r="J43" s="15">
        <f t="shared" si="10"/>
        <v>26996.28991</v>
      </c>
      <c r="K43" s="16">
        <f t="shared" si="3"/>
        <v>604585.3951</v>
      </c>
    </row>
    <row r="44">
      <c r="A44" s="7">
        <v>77.0</v>
      </c>
      <c r="B44" s="11">
        <f t="shared" si="4"/>
        <v>54877.95213</v>
      </c>
      <c r="C44" s="12" t="str">
        <f t="shared" si="1"/>
        <v>PP</v>
      </c>
      <c r="D44" s="7" t="s">
        <v>237</v>
      </c>
      <c r="E44" s="13">
        <f t="shared" si="5"/>
        <v>16012.57435</v>
      </c>
      <c r="F44" s="11">
        <f t="shared" si="6"/>
        <v>0</v>
      </c>
      <c r="G44" s="14">
        <f t="shared" si="7"/>
        <v>581321.9007</v>
      </c>
      <c r="H44" s="11">
        <f t="shared" si="9"/>
        <v>-32649.63062</v>
      </c>
      <c r="I44" s="11">
        <f t="shared" si="8"/>
        <v>27125.76611</v>
      </c>
      <c r="J44" s="15">
        <f t="shared" si="10"/>
        <v>27752.18603</v>
      </c>
      <c r="K44" s="16">
        <f t="shared" si="3"/>
        <v>597334.475</v>
      </c>
    </row>
    <row r="45">
      <c r="A45" s="7">
        <v>78.0</v>
      </c>
      <c r="B45" s="11">
        <f t="shared" si="4"/>
        <v>56414.53479</v>
      </c>
      <c r="C45" s="12" t="str">
        <f t="shared" si="1"/>
        <v>PP</v>
      </c>
      <c r="D45" s="7" t="s">
        <v>237</v>
      </c>
      <c r="E45" s="13">
        <f t="shared" si="5"/>
        <v>17133.45455</v>
      </c>
      <c r="F45" s="11">
        <f t="shared" si="6"/>
        <v>0</v>
      </c>
      <c r="G45" s="14">
        <f t="shared" si="7"/>
        <v>566111.9271</v>
      </c>
      <c r="H45" s="11">
        <f t="shared" si="9"/>
        <v>-33563.82028</v>
      </c>
      <c r="I45" s="11">
        <f t="shared" si="8"/>
        <v>27885.28756</v>
      </c>
      <c r="J45" s="15">
        <f t="shared" si="10"/>
        <v>28529.24724</v>
      </c>
      <c r="K45" s="16">
        <f t="shared" si="3"/>
        <v>583245.3816</v>
      </c>
    </row>
    <row r="46">
      <c r="A46" s="7">
        <v>79.0</v>
      </c>
      <c r="B46" s="11">
        <f t="shared" si="4"/>
        <v>57994.14177</v>
      </c>
      <c r="C46" s="12" t="str">
        <f t="shared" si="1"/>
        <v>PP</v>
      </c>
      <c r="D46" s="7" t="s">
        <v>237</v>
      </c>
      <c r="E46" s="13">
        <f t="shared" si="5"/>
        <v>18332.79637</v>
      </c>
      <c r="F46" s="11">
        <f t="shared" si="6"/>
        <v>0</v>
      </c>
      <c r="G46" s="14">
        <f t="shared" si="7"/>
        <v>549531.4646</v>
      </c>
      <c r="H46" s="11">
        <f t="shared" si="9"/>
        <v>-34503.60724</v>
      </c>
      <c r="I46" s="11">
        <f t="shared" si="8"/>
        <v>28666.07561</v>
      </c>
      <c r="J46" s="15">
        <f t="shared" si="10"/>
        <v>29328.06616</v>
      </c>
      <c r="K46" s="16">
        <f t="shared" si="3"/>
        <v>567864.261</v>
      </c>
    </row>
    <row r="47">
      <c r="A47" s="7">
        <v>80.0</v>
      </c>
      <c r="B47" s="11">
        <f t="shared" si="4"/>
        <v>59617.97774</v>
      </c>
      <c r="C47" s="12" t="str">
        <f t="shared" si="1"/>
        <v>PP</v>
      </c>
      <c r="D47" s="7" t="s">
        <v>237</v>
      </c>
      <c r="E47" s="13">
        <f t="shared" si="5"/>
        <v>19616.09212</v>
      </c>
      <c r="F47" s="11">
        <f t="shared" si="6"/>
        <v>0</v>
      </c>
      <c r="G47" s="14">
        <f t="shared" si="7"/>
        <v>531513.8013</v>
      </c>
      <c r="H47" s="11">
        <f t="shared" si="9"/>
        <v>-35469.70825</v>
      </c>
      <c r="I47" s="11">
        <f t="shared" si="8"/>
        <v>29468.72573</v>
      </c>
      <c r="J47" s="15">
        <f t="shared" si="10"/>
        <v>30149.25201</v>
      </c>
      <c r="K47" s="16">
        <f t="shared" si="3"/>
        <v>551129.8934</v>
      </c>
    </row>
    <row r="48">
      <c r="A48" s="7">
        <v>81.0</v>
      </c>
      <c r="B48" s="11">
        <f t="shared" si="4"/>
        <v>61287.28111</v>
      </c>
      <c r="C48" s="12" t="str">
        <f t="shared" si="1"/>
        <v>PP</v>
      </c>
      <c r="D48" s="7" t="s">
        <v>237</v>
      </c>
      <c r="E48" s="13">
        <f t="shared" si="5"/>
        <v>20989.21857</v>
      </c>
      <c r="F48" s="11">
        <f t="shared" si="6"/>
        <v>0</v>
      </c>
      <c r="G48" s="14">
        <f t="shared" si="7"/>
        <v>511989.5071</v>
      </c>
      <c r="H48" s="11">
        <f t="shared" si="9"/>
        <v>-36462.86008</v>
      </c>
      <c r="I48" s="11">
        <f t="shared" si="8"/>
        <v>30293.85005</v>
      </c>
      <c r="J48" s="15">
        <f t="shared" si="10"/>
        <v>30993.43107</v>
      </c>
      <c r="K48" s="16">
        <f t="shared" si="3"/>
        <v>532978.7257</v>
      </c>
    </row>
    <row r="49">
      <c r="A49" s="7">
        <v>82.0</v>
      </c>
      <c r="B49" s="11">
        <f t="shared" si="4"/>
        <v>63003.32499</v>
      </c>
      <c r="C49" s="12" t="str">
        <f t="shared" si="1"/>
        <v>PP</v>
      </c>
      <c r="D49" s="7" t="s">
        <v>237</v>
      </c>
      <c r="E49" s="13">
        <f t="shared" si="5"/>
        <v>22458.46387</v>
      </c>
      <c r="F49" s="11">
        <f t="shared" si="6"/>
        <v>0</v>
      </c>
      <c r="G49" s="14">
        <f t="shared" si="7"/>
        <v>490886.3322</v>
      </c>
      <c r="H49" s="11">
        <f t="shared" si="9"/>
        <v>-37483.82016</v>
      </c>
      <c r="I49" s="11">
        <f t="shared" si="8"/>
        <v>31142.07785</v>
      </c>
      <c r="J49" s="15">
        <f t="shared" si="10"/>
        <v>31861.24714</v>
      </c>
      <c r="K49" s="16">
        <f t="shared" si="3"/>
        <v>513344.7961</v>
      </c>
    </row>
    <row r="50">
      <c r="A50" s="7">
        <v>83.0</v>
      </c>
      <c r="B50" s="11">
        <f t="shared" si="4"/>
        <v>64767.41809</v>
      </c>
      <c r="C50" s="12" t="str">
        <f t="shared" si="1"/>
        <v>PP</v>
      </c>
      <c r="D50" s="7" t="s">
        <v>237</v>
      </c>
      <c r="E50" s="13">
        <f t="shared" si="5"/>
        <v>24030.55634</v>
      </c>
      <c r="F50" s="11">
        <f t="shared" si="6"/>
        <v>0</v>
      </c>
      <c r="G50" s="14">
        <f t="shared" si="7"/>
        <v>468129.1021</v>
      </c>
      <c r="H50" s="11">
        <f t="shared" si="9"/>
        <v>-38533.36713</v>
      </c>
      <c r="I50" s="11">
        <f t="shared" si="8"/>
        <v>32014.05603</v>
      </c>
      <c r="J50" s="15">
        <f t="shared" si="10"/>
        <v>32753.36206</v>
      </c>
      <c r="K50" s="16">
        <f t="shared" si="3"/>
        <v>492159.6584</v>
      </c>
    </row>
    <row r="51">
      <c r="A51" s="7">
        <v>84.0</v>
      </c>
      <c r="B51" s="11">
        <f t="shared" si="4"/>
        <v>66580.90579</v>
      </c>
      <c r="C51" s="12" t="str">
        <f t="shared" si="1"/>
        <v>PP</v>
      </c>
      <c r="D51" s="7" t="s">
        <v>237</v>
      </c>
      <c r="E51" s="13">
        <f t="shared" si="5"/>
        <v>25712.69528</v>
      </c>
      <c r="F51" s="11">
        <f t="shared" si="6"/>
        <v>0</v>
      </c>
      <c r="G51" s="14">
        <f t="shared" si="7"/>
        <v>443639.608</v>
      </c>
      <c r="H51" s="11">
        <f t="shared" si="9"/>
        <v>-39612.3014</v>
      </c>
      <c r="I51" s="11">
        <f t="shared" si="8"/>
        <v>32910.4496</v>
      </c>
      <c r="J51" s="15">
        <f t="shared" si="10"/>
        <v>33670.45619</v>
      </c>
      <c r="K51" s="16">
        <f t="shared" si="3"/>
        <v>469352.3033</v>
      </c>
    </row>
    <row r="52">
      <c r="A52" s="7">
        <v>85.0</v>
      </c>
      <c r="B52" s="11">
        <f t="shared" si="4"/>
        <v>68445.17115</v>
      </c>
      <c r="C52" s="12" t="str">
        <f t="shared" si="1"/>
        <v>PP</v>
      </c>
      <c r="D52" s="7" t="s">
        <v>237</v>
      </c>
      <c r="E52" s="13">
        <f t="shared" si="5"/>
        <v>27512.58395</v>
      </c>
      <c r="F52" s="11">
        <f t="shared" si="6"/>
        <v>0</v>
      </c>
      <c r="G52" s="14">
        <f t="shared" si="7"/>
        <v>417336.4948</v>
      </c>
      <c r="H52" s="11">
        <f t="shared" si="9"/>
        <v>-40721.44584</v>
      </c>
      <c r="I52" s="11">
        <f t="shared" si="8"/>
        <v>33831.94219</v>
      </c>
      <c r="J52" s="15">
        <f t="shared" si="10"/>
        <v>34613.22897</v>
      </c>
      <c r="K52" s="16">
        <f t="shared" si="3"/>
        <v>444849.0788</v>
      </c>
    </row>
    <row r="53">
      <c r="A53" s="7">
        <v>86.0</v>
      </c>
      <c r="B53" s="11">
        <f t="shared" si="4"/>
        <v>70361.63595</v>
      </c>
      <c r="C53" s="12" t="str">
        <f t="shared" si="1"/>
        <v>PP</v>
      </c>
      <c r="D53" s="7" t="s">
        <v>237</v>
      </c>
      <c r="E53" s="13">
        <f t="shared" si="5"/>
        <v>29438.46483</v>
      </c>
      <c r="F53" s="11">
        <f t="shared" si="6"/>
        <v>0</v>
      </c>
      <c r="G53" s="14">
        <f t="shared" si="7"/>
        <v>389135.1438</v>
      </c>
      <c r="H53" s="11">
        <f t="shared" si="9"/>
        <v>-41861.64633</v>
      </c>
      <c r="I53" s="11">
        <f t="shared" si="8"/>
        <v>34779.23657</v>
      </c>
      <c r="J53" s="15">
        <f t="shared" si="10"/>
        <v>35582.39938</v>
      </c>
      <c r="K53" s="16">
        <f t="shared" si="3"/>
        <v>418573.6087</v>
      </c>
    </row>
    <row r="54">
      <c r="A54" s="7">
        <v>87.0</v>
      </c>
      <c r="B54" s="11">
        <f t="shared" si="4"/>
        <v>72331.76175</v>
      </c>
      <c r="C54" s="12" t="str">
        <f t="shared" si="1"/>
        <v>PP</v>
      </c>
      <c r="D54" s="7" t="s">
        <v>237</v>
      </c>
      <c r="E54" s="13">
        <f t="shared" si="5"/>
        <v>31499.15737</v>
      </c>
      <c r="F54" s="11">
        <f t="shared" si="6"/>
        <v>0</v>
      </c>
      <c r="G54" s="14">
        <f t="shared" si="7"/>
        <v>358947.5518</v>
      </c>
      <c r="H54" s="11">
        <f t="shared" si="9"/>
        <v>-43033.77243</v>
      </c>
      <c r="I54" s="11">
        <f t="shared" si="8"/>
        <v>35753.05519</v>
      </c>
      <c r="J54" s="15">
        <f t="shared" si="10"/>
        <v>36578.70656</v>
      </c>
      <c r="K54" s="16">
        <f t="shared" si="3"/>
        <v>390446.7092</v>
      </c>
    </row>
    <row r="55">
      <c r="A55" s="7">
        <v>88.0</v>
      </c>
      <c r="B55" s="11">
        <f t="shared" si="4"/>
        <v>74357.05108</v>
      </c>
      <c r="C55" s="12" t="str">
        <f t="shared" si="1"/>
        <v>PP</v>
      </c>
      <c r="D55" s="7" t="s">
        <v>237</v>
      </c>
      <c r="E55" s="13">
        <f t="shared" si="5"/>
        <v>33704.09838</v>
      </c>
      <c r="F55" s="11">
        <f t="shared" si="6"/>
        <v>0</v>
      </c>
      <c r="G55" s="14">
        <f t="shared" si="7"/>
        <v>326682.2059</v>
      </c>
      <c r="H55" s="11">
        <f t="shared" si="9"/>
        <v>-44238.71805</v>
      </c>
      <c r="I55" s="11">
        <f t="shared" si="8"/>
        <v>36754.14074</v>
      </c>
      <c r="J55" s="15">
        <f t="shared" si="10"/>
        <v>37602.91035</v>
      </c>
      <c r="K55" s="16">
        <f t="shared" si="3"/>
        <v>360386.3043</v>
      </c>
    </row>
    <row r="56">
      <c r="A56" s="7">
        <v>89.0</v>
      </c>
      <c r="B56" s="11">
        <f t="shared" si="4"/>
        <v>76439.04851</v>
      </c>
      <c r="C56" s="12" t="str">
        <f t="shared" si="1"/>
        <v>PP</v>
      </c>
      <c r="D56" s="7" t="s">
        <v>237</v>
      </c>
      <c r="E56" s="13">
        <f t="shared" si="5"/>
        <v>36063.38527</v>
      </c>
      <c r="F56" s="11">
        <f t="shared" si="6"/>
        <v>0</v>
      </c>
      <c r="G56" s="14">
        <f t="shared" si="7"/>
        <v>292243.9541</v>
      </c>
      <c r="H56" s="11">
        <f t="shared" si="9"/>
        <v>-45477.40216</v>
      </c>
      <c r="I56" s="11">
        <f t="shared" si="8"/>
        <v>37783.25668</v>
      </c>
      <c r="J56" s="15">
        <f t="shared" si="10"/>
        <v>38655.79183</v>
      </c>
      <c r="K56" s="16">
        <f t="shared" si="3"/>
        <v>328307.3393</v>
      </c>
    </row>
    <row r="57">
      <c r="A57" s="7">
        <v>90.0</v>
      </c>
      <c r="B57" s="11">
        <f t="shared" si="4"/>
        <v>78579.34187</v>
      </c>
      <c r="C57" s="12" t="str">
        <f t="shared" si="1"/>
        <v>PP</v>
      </c>
      <c r="D57" s="7" t="s">
        <v>237</v>
      </c>
      <c r="E57" s="13">
        <f t="shared" si="5"/>
        <v>38587.82224</v>
      </c>
      <c r="F57" s="11">
        <f t="shared" si="6"/>
        <v>0</v>
      </c>
      <c r="G57" s="14">
        <f t="shared" si="7"/>
        <v>255533.8705</v>
      </c>
      <c r="H57" s="11">
        <f t="shared" si="9"/>
        <v>-46750.76942</v>
      </c>
      <c r="I57" s="11">
        <f t="shared" si="8"/>
        <v>38841.18786</v>
      </c>
      <c r="J57" s="15">
        <f t="shared" si="10"/>
        <v>39738.15401</v>
      </c>
      <c r="K57" s="16">
        <f t="shared" si="3"/>
        <v>294121.6928</v>
      </c>
    </row>
  </sheetData>
  <conditionalFormatting sqref="C8:C57">
    <cfRule type="cellIs" dxfId="0" priority="1" operator="equal">
      <formula>"Salary"</formula>
    </cfRule>
  </conditionalFormatting>
  <conditionalFormatting sqref="C8:C57">
    <cfRule type="cellIs" dxfId="1" priority="2" operator="equal">
      <formula>"ISA"</formula>
    </cfRule>
  </conditionalFormatting>
  <conditionalFormatting sqref="C8:C57">
    <cfRule type="cellIs" dxfId="2" priority="3" operator="equal">
      <formula>"PP"</formula>
    </cfRule>
  </conditionalFormatting>
  <conditionalFormatting sqref="B6">
    <cfRule type="expression" dxfId="3" priority="4">
      <formula>COUNTIFS($C:$C, "Salary", $D:$D, "FI") &gt; 0</formula>
    </cfRule>
  </conditionalFormatting>
  <dataValidations>
    <dataValidation type="list" allowBlank="1" showErrorMessage="1" sqref="D8:D57">
      <formula1>"Building,Coasting,FI"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38"/>
  </cols>
  <sheetData>
    <row r="1">
      <c r="A1" s="7"/>
      <c r="C1" s="7" t="s">
        <v>215</v>
      </c>
      <c r="D1" s="7" t="s">
        <v>216</v>
      </c>
    </row>
    <row r="2">
      <c r="A2" s="7" t="s">
        <v>217</v>
      </c>
      <c r="B2" s="8">
        <f>J2-J3</f>
        <v>29000</v>
      </c>
      <c r="C2" s="9">
        <v>0.028</v>
      </c>
      <c r="F2" s="7" t="s">
        <v>218</v>
      </c>
      <c r="G2" s="8">
        <v>16000.0</v>
      </c>
      <c r="I2" s="7" t="s">
        <v>219</v>
      </c>
      <c r="J2" s="8">
        <v>50000.0</v>
      </c>
    </row>
    <row r="3">
      <c r="A3" s="7" t="s">
        <v>220</v>
      </c>
      <c r="B3" s="8">
        <v>31000.0</v>
      </c>
      <c r="C3" s="10">
        <v>0.07</v>
      </c>
      <c r="F3" s="7" t="s">
        <v>221</v>
      </c>
      <c r="G3" s="8">
        <v>27450.0</v>
      </c>
      <c r="I3" s="7" t="s">
        <v>222</v>
      </c>
      <c r="J3" s="8">
        <v>21000.0</v>
      </c>
    </row>
    <row r="4">
      <c r="A4" s="7" t="s">
        <v>223</v>
      </c>
      <c r="B4" s="8">
        <v>51873.0</v>
      </c>
      <c r="C4" s="10">
        <v>0.05</v>
      </c>
      <c r="D4" s="10">
        <v>0.85</v>
      </c>
      <c r="I4" s="7" t="s">
        <v>224</v>
      </c>
      <c r="J4" s="8">
        <v>12570.0</v>
      </c>
    </row>
    <row r="5">
      <c r="A5" s="7" t="s">
        <v>225</v>
      </c>
      <c r="B5" s="8">
        <v>12547.0</v>
      </c>
      <c r="C5" s="9">
        <v>0.028</v>
      </c>
      <c r="D5" s="10">
        <v>0.8</v>
      </c>
      <c r="I5" s="7" t="s">
        <v>226</v>
      </c>
      <c r="J5" s="11">
        <f>J3-(J3-J4)*0.2</f>
        <v>19314</v>
      </c>
    </row>
    <row r="6">
      <c r="A6" s="7" t="s">
        <v>238</v>
      </c>
      <c r="B6" s="11">
        <f>M57</f>
        <v>405323.9704</v>
      </c>
    </row>
    <row r="7">
      <c r="A7" s="7" t="s">
        <v>0</v>
      </c>
      <c r="B7" s="7" t="s">
        <v>228</v>
      </c>
      <c r="C7" s="7" t="s">
        <v>229</v>
      </c>
      <c r="D7" s="7" t="s">
        <v>1</v>
      </c>
      <c r="E7" s="7" t="s">
        <v>220</v>
      </c>
      <c r="F7" s="7" t="s">
        <v>230</v>
      </c>
      <c r="G7" s="7" t="s">
        <v>223</v>
      </c>
      <c r="H7" s="7" t="s">
        <v>231</v>
      </c>
      <c r="I7" s="7" t="s">
        <v>232</v>
      </c>
      <c r="J7" s="7" t="s">
        <v>233</v>
      </c>
      <c r="K7" s="7" t="s">
        <v>239</v>
      </c>
      <c r="L7" s="7" t="s">
        <v>240</v>
      </c>
      <c r="M7" s="7" t="s">
        <v>234</v>
      </c>
    </row>
    <row r="8">
      <c r="A8" s="7">
        <v>41.0</v>
      </c>
      <c r="B8" s="11">
        <f>B2</f>
        <v>29000</v>
      </c>
      <c r="C8" s="12" t="str">
        <f t="shared" ref="C8:C57" si="1">IFS(
  OR(D8="Building", D8="Coasting"), "Salary", 
  D8="FI", IF(E8&gt;J8, "ISA", IF(AND(E8&lt;J8, G8&gt;J8), "PP", IF(AND(E8&lt;J8, G8&lt;J8, (G8+E8)&gt;J8), "ISA+PP", IF(K8&gt;J8, "LISA", "Salary")))), 
  TRUE, "Salary"
)</f>
        <v>Salary</v>
      </c>
      <c r="D8" s="7" t="s">
        <v>235</v>
      </c>
      <c r="E8" s="13">
        <f>B3</f>
        <v>31000</v>
      </c>
      <c r="F8" s="11">
        <f>G2</f>
        <v>16000</v>
      </c>
      <c r="G8" s="14">
        <f>B4</f>
        <v>51873</v>
      </c>
      <c r="H8" s="11">
        <f>G3</f>
        <v>27450</v>
      </c>
      <c r="I8" s="11">
        <f>B5*D5</f>
        <v>10037.6</v>
      </c>
      <c r="J8" s="15">
        <f t="shared" ref="J8:J35" si="2">IF(A8&gt;67, B8-I8,B8)</f>
        <v>29000</v>
      </c>
      <c r="K8" s="17">
        <v>5000.0</v>
      </c>
      <c r="L8" s="12">
        <f t="shared" ref="L8:L57" si="3">IF(C8="LISA",-J8,0)</f>
        <v>0</v>
      </c>
      <c r="M8" s="16">
        <f t="shared" ref="M8:M57" si="4">E8+G8+K8</f>
        <v>87873</v>
      </c>
    </row>
    <row r="9">
      <c r="A9" s="7">
        <v>42.0</v>
      </c>
      <c r="B9" s="11">
        <f t="shared" ref="B9:B57" si="5">B8*(1+$C$2)</f>
        <v>29812</v>
      </c>
      <c r="C9" s="12" t="str">
        <f t="shared" si="1"/>
        <v>Salary</v>
      </c>
      <c r="D9" s="7" t="s">
        <v>235</v>
      </c>
      <c r="E9" s="13">
        <f t="shared" ref="E9:E57" si="6">E8*(1+$C$3)+F8</f>
        <v>49170</v>
      </c>
      <c r="F9" s="11">
        <f t="shared" ref="F9:F57" si="7">IFS(
  D9="Building", $G$2, 
  D9="Coasting", 0, 
  D9="FI", IF(C9="ISA+PP", -E9, IF(E9&gt;J9, -J9, 0)), 
  TRUE, 0
)</f>
        <v>16000</v>
      </c>
      <c r="G9" s="14">
        <f t="shared" ref="G9:G57" si="8">G8*(1+$C$4)+H8</f>
        <v>81916.65</v>
      </c>
      <c r="H9" s="11">
        <f t="shared" ref="H9:H57" si="9">IFS(
  D9="Building", $G$3, 
  D9="Coasting", 0, 
  D9="FI", IF(C9="ISA+PP", (-(J9-E9))/$D$4, IF(E9&gt;J9, 0, IF(AND(J9&gt;E9, G9&gt;J9), -J9/$D$4, 0))), 
  TRUE, 0
)</f>
        <v>27450</v>
      </c>
      <c r="I9" s="11">
        <f t="shared" ref="I9:I57" si="10">I8*(1+$C$5)</f>
        <v>10318.6528</v>
      </c>
      <c r="J9" s="15">
        <f t="shared" si="2"/>
        <v>29812</v>
      </c>
      <c r="K9" s="18">
        <f t="shared" ref="K9:K57" si="11">IF(A8&lt;50,K8*(1+$C$3)+5000+L8,K8*(1+$C$3)+L8)</f>
        <v>10350</v>
      </c>
      <c r="L9" s="12">
        <f t="shared" si="3"/>
        <v>0</v>
      </c>
      <c r="M9" s="16">
        <f t="shared" si="4"/>
        <v>141436.65</v>
      </c>
    </row>
    <row r="10">
      <c r="A10" s="7">
        <v>43.0</v>
      </c>
      <c r="B10" s="11">
        <f t="shared" si="5"/>
        <v>30646.736</v>
      </c>
      <c r="C10" s="12" t="str">
        <f t="shared" si="1"/>
        <v>Salary</v>
      </c>
      <c r="D10" s="7" t="s">
        <v>235</v>
      </c>
      <c r="E10" s="13">
        <f t="shared" si="6"/>
        <v>68611.9</v>
      </c>
      <c r="F10" s="11">
        <f t="shared" si="7"/>
        <v>16000</v>
      </c>
      <c r="G10" s="14">
        <f t="shared" si="8"/>
        <v>113462.4825</v>
      </c>
      <c r="H10" s="11">
        <f t="shared" si="9"/>
        <v>27450</v>
      </c>
      <c r="I10" s="11">
        <f t="shared" si="10"/>
        <v>10607.57508</v>
      </c>
      <c r="J10" s="15">
        <f t="shared" si="2"/>
        <v>30646.736</v>
      </c>
      <c r="K10" s="18">
        <f t="shared" si="11"/>
        <v>16074.5</v>
      </c>
      <c r="L10" s="12">
        <f t="shared" si="3"/>
        <v>0</v>
      </c>
      <c r="M10" s="16">
        <f t="shared" si="4"/>
        <v>198148.8825</v>
      </c>
    </row>
    <row r="11">
      <c r="A11" s="7">
        <v>44.0</v>
      </c>
      <c r="B11" s="11">
        <f t="shared" si="5"/>
        <v>31504.84461</v>
      </c>
      <c r="C11" s="12" t="str">
        <f t="shared" si="1"/>
        <v>Salary</v>
      </c>
      <c r="D11" s="7" t="s">
        <v>235</v>
      </c>
      <c r="E11" s="13">
        <f t="shared" si="6"/>
        <v>89414.733</v>
      </c>
      <c r="F11" s="11">
        <f t="shared" si="7"/>
        <v>16000</v>
      </c>
      <c r="G11" s="14">
        <f t="shared" si="8"/>
        <v>146585.6066</v>
      </c>
      <c r="H11" s="11">
        <f t="shared" si="9"/>
        <v>27450</v>
      </c>
      <c r="I11" s="11">
        <f t="shared" si="10"/>
        <v>10904.58718</v>
      </c>
      <c r="J11" s="15">
        <f t="shared" si="2"/>
        <v>31504.84461</v>
      </c>
      <c r="K11" s="18">
        <f t="shared" si="11"/>
        <v>22199.715</v>
      </c>
      <c r="L11" s="12">
        <f t="shared" si="3"/>
        <v>0</v>
      </c>
      <c r="M11" s="16">
        <f t="shared" si="4"/>
        <v>258200.0546</v>
      </c>
    </row>
    <row r="12">
      <c r="A12" s="7">
        <v>45.0</v>
      </c>
      <c r="B12" s="11">
        <f t="shared" si="5"/>
        <v>32386.98026</v>
      </c>
      <c r="C12" s="12" t="str">
        <f t="shared" si="1"/>
        <v>Salary</v>
      </c>
      <c r="D12" s="7" t="s">
        <v>235</v>
      </c>
      <c r="E12" s="13">
        <f t="shared" si="6"/>
        <v>111673.7643</v>
      </c>
      <c r="F12" s="11">
        <f t="shared" si="7"/>
        <v>16000</v>
      </c>
      <c r="G12" s="14">
        <f t="shared" si="8"/>
        <v>181364.887</v>
      </c>
      <c r="H12" s="11">
        <f t="shared" si="9"/>
        <v>27450</v>
      </c>
      <c r="I12" s="11">
        <f t="shared" si="10"/>
        <v>11209.91562</v>
      </c>
      <c r="J12" s="15">
        <f t="shared" si="2"/>
        <v>32386.98026</v>
      </c>
      <c r="K12" s="18">
        <f t="shared" si="11"/>
        <v>28753.69505</v>
      </c>
      <c r="L12" s="12">
        <f t="shared" si="3"/>
        <v>0</v>
      </c>
      <c r="M12" s="16">
        <f t="shared" si="4"/>
        <v>321792.3463</v>
      </c>
    </row>
    <row r="13">
      <c r="A13" s="7">
        <v>46.0</v>
      </c>
      <c r="B13" s="11">
        <f t="shared" si="5"/>
        <v>33293.8157</v>
      </c>
      <c r="C13" s="12" t="str">
        <f t="shared" si="1"/>
        <v>Salary</v>
      </c>
      <c r="D13" s="7" t="s">
        <v>235</v>
      </c>
      <c r="E13" s="13">
        <f t="shared" si="6"/>
        <v>135490.9278</v>
      </c>
      <c r="F13" s="11">
        <f t="shared" si="7"/>
        <v>16000</v>
      </c>
      <c r="G13" s="14">
        <f t="shared" si="8"/>
        <v>217883.1313</v>
      </c>
      <c r="H13" s="11">
        <f t="shared" si="9"/>
        <v>27450</v>
      </c>
      <c r="I13" s="11">
        <f t="shared" si="10"/>
        <v>11523.79326</v>
      </c>
      <c r="J13" s="15">
        <f t="shared" si="2"/>
        <v>33293.8157</v>
      </c>
      <c r="K13" s="18">
        <f t="shared" si="11"/>
        <v>35766.4537</v>
      </c>
      <c r="L13" s="12">
        <f t="shared" si="3"/>
        <v>0</v>
      </c>
      <c r="M13" s="16">
        <f t="shared" si="4"/>
        <v>389140.5128</v>
      </c>
    </row>
    <row r="14">
      <c r="A14" s="7">
        <v>47.0</v>
      </c>
      <c r="B14" s="11">
        <f t="shared" si="5"/>
        <v>34226.04254</v>
      </c>
      <c r="C14" s="12" t="str">
        <f t="shared" si="1"/>
        <v>Salary</v>
      </c>
      <c r="D14" s="7" t="s">
        <v>236</v>
      </c>
      <c r="E14" s="13">
        <f t="shared" si="6"/>
        <v>160975.2928</v>
      </c>
      <c r="F14" s="11">
        <f t="shared" si="7"/>
        <v>0</v>
      </c>
      <c r="G14" s="14">
        <f t="shared" si="8"/>
        <v>256227.2879</v>
      </c>
      <c r="H14" s="11">
        <f t="shared" si="9"/>
        <v>0</v>
      </c>
      <c r="I14" s="11">
        <f t="shared" si="10"/>
        <v>11846.45947</v>
      </c>
      <c r="J14" s="15">
        <f t="shared" si="2"/>
        <v>34226.04254</v>
      </c>
      <c r="K14" s="18">
        <f t="shared" si="11"/>
        <v>43270.10546</v>
      </c>
      <c r="L14" s="12">
        <f t="shared" si="3"/>
        <v>0</v>
      </c>
      <c r="M14" s="16">
        <f t="shared" si="4"/>
        <v>460472.6861</v>
      </c>
    </row>
    <row r="15">
      <c r="A15" s="7">
        <v>48.0</v>
      </c>
      <c r="B15" s="11">
        <f t="shared" si="5"/>
        <v>35184.37174</v>
      </c>
      <c r="C15" s="12" t="str">
        <f t="shared" si="1"/>
        <v>Salary</v>
      </c>
      <c r="D15" s="7" t="s">
        <v>236</v>
      </c>
      <c r="E15" s="13">
        <f t="shared" si="6"/>
        <v>172243.5633</v>
      </c>
      <c r="F15" s="11">
        <f t="shared" si="7"/>
        <v>0</v>
      </c>
      <c r="G15" s="14">
        <f t="shared" si="8"/>
        <v>269038.6523</v>
      </c>
      <c r="H15" s="11">
        <f t="shared" si="9"/>
        <v>0</v>
      </c>
      <c r="I15" s="11">
        <f t="shared" si="10"/>
        <v>12178.16034</v>
      </c>
      <c r="J15" s="15">
        <f t="shared" si="2"/>
        <v>35184.37174</v>
      </c>
      <c r="K15" s="18">
        <f t="shared" si="11"/>
        <v>51299.01285</v>
      </c>
      <c r="L15" s="12">
        <f t="shared" si="3"/>
        <v>0</v>
      </c>
      <c r="M15" s="16">
        <f t="shared" si="4"/>
        <v>492581.2284</v>
      </c>
    </row>
    <row r="16">
      <c r="A16" s="7">
        <v>49.0</v>
      </c>
      <c r="B16" s="11">
        <f t="shared" si="5"/>
        <v>36169.53414</v>
      </c>
      <c r="C16" s="12" t="str">
        <f t="shared" si="1"/>
        <v>Salary</v>
      </c>
      <c r="D16" s="7" t="s">
        <v>236</v>
      </c>
      <c r="E16" s="13">
        <f t="shared" si="6"/>
        <v>184300.6127</v>
      </c>
      <c r="F16" s="11">
        <f t="shared" si="7"/>
        <v>0</v>
      </c>
      <c r="G16" s="14">
        <f t="shared" si="8"/>
        <v>282490.5849</v>
      </c>
      <c r="H16" s="11">
        <f t="shared" si="9"/>
        <v>0</v>
      </c>
      <c r="I16" s="11">
        <f t="shared" si="10"/>
        <v>12519.14882</v>
      </c>
      <c r="J16" s="15">
        <f t="shared" si="2"/>
        <v>36169.53414</v>
      </c>
      <c r="K16" s="18">
        <f t="shared" si="11"/>
        <v>59889.94374</v>
      </c>
      <c r="L16" s="12">
        <f t="shared" si="3"/>
        <v>0</v>
      </c>
      <c r="M16" s="16">
        <f t="shared" si="4"/>
        <v>526681.1413</v>
      </c>
    </row>
    <row r="17">
      <c r="A17" s="7">
        <v>50.0</v>
      </c>
      <c r="B17" s="11">
        <f t="shared" si="5"/>
        <v>37182.2811</v>
      </c>
      <c r="C17" s="12" t="str">
        <f t="shared" si="1"/>
        <v>Salary</v>
      </c>
      <c r="D17" s="7" t="s">
        <v>236</v>
      </c>
      <c r="E17" s="13">
        <f t="shared" si="6"/>
        <v>197201.6556</v>
      </c>
      <c r="F17" s="11">
        <f t="shared" si="7"/>
        <v>0</v>
      </c>
      <c r="G17" s="14">
        <f t="shared" si="8"/>
        <v>296615.1141</v>
      </c>
      <c r="H17" s="11">
        <f t="shared" si="9"/>
        <v>0</v>
      </c>
      <c r="I17" s="11">
        <f t="shared" si="10"/>
        <v>12869.68499</v>
      </c>
      <c r="J17" s="15">
        <f t="shared" si="2"/>
        <v>37182.2811</v>
      </c>
      <c r="K17" s="18">
        <f t="shared" si="11"/>
        <v>69082.23981</v>
      </c>
      <c r="L17" s="12">
        <f t="shared" si="3"/>
        <v>0</v>
      </c>
      <c r="M17" s="16">
        <f t="shared" si="4"/>
        <v>562899.0095</v>
      </c>
    </row>
    <row r="18">
      <c r="A18" s="7">
        <v>51.0</v>
      </c>
      <c r="B18" s="11">
        <f t="shared" si="5"/>
        <v>38223.38497</v>
      </c>
      <c r="C18" s="12" t="str">
        <f t="shared" si="1"/>
        <v>Salary</v>
      </c>
      <c r="D18" s="7" t="s">
        <v>236</v>
      </c>
      <c r="E18" s="13">
        <f t="shared" si="6"/>
        <v>211005.7715</v>
      </c>
      <c r="F18" s="11">
        <f t="shared" si="7"/>
        <v>0</v>
      </c>
      <c r="G18" s="14">
        <f t="shared" si="8"/>
        <v>311445.8698</v>
      </c>
      <c r="H18" s="11">
        <f t="shared" si="9"/>
        <v>0</v>
      </c>
      <c r="I18" s="11">
        <f t="shared" si="10"/>
        <v>13230.03617</v>
      </c>
      <c r="J18" s="15">
        <f t="shared" si="2"/>
        <v>38223.38497</v>
      </c>
      <c r="K18" s="18">
        <f t="shared" si="11"/>
        <v>73917.99659</v>
      </c>
      <c r="L18" s="12">
        <f t="shared" si="3"/>
        <v>0</v>
      </c>
      <c r="M18" s="16">
        <f t="shared" si="4"/>
        <v>596369.6379</v>
      </c>
    </row>
    <row r="19">
      <c r="A19" s="7">
        <v>52.0</v>
      </c>
      <c r="B19" s="11">
        <f t="shared" si="5"/>
        <v>39293.63975</v>
      </c>
      <c r="C19" s="12" t="str">
        <f t="shared" si="1"/>
        <v>Salary</v>
      </c>
      <c r="D19" s="7" t="s">
        <v>236</v>
      </c>
      <c r="E19" s="13">
        <f t="shared" si="6"/>
        <v>225776.1755</v>
      </c>
      <c r="F19" s="11">
        <f t="shared" si="7"/>
        <v>0</v>
      </c>
      <c r="G19" s="14">
        <f t="shared" si="8"/>
        <v>327018.1633</v>
      </c>
      <c r="H19" s="11">
        <f t="shared" si="9"/>
        <v>0</v>
      </c>
      <c r="I19" s="11">
        <f t="shared" si="10"/>
        <v>13600.47718</v>
      </c>
      <c r="J19" s="15">
        <f t="shared" si="2"/>
        <v>39293.63975</v>
      </c>
      <c r="K19" s="18">
        <f t="shared" si="11"/>
        <v>79092.25635</v>
      </c>
      <c r="L19" s="12">
        <f t="shared" si="3"/>
        <v>0</v>
      </c>
      <c r="M19" s="16">
        <f t="shared" si="4"/>
        <v>631886.5951</v>
      </c>
    </row>
    <row r="20">
      <c r="A20" s="7">
        <v>53.0</v>
      </c>
      <c r="B20" s="11">
        <f t="shared" si="5"/>
        <v>40393.86166</v>
      </c>
      <c r="C20" s="12" t="str">
        <f t="shared" si="1"/>
        <v>Salary</v>
      </c>
      <c r="D20" s="7" t="s">
        <v>236</v>
      </c>
      <c r="E20" s="13">
        <f t="shared" si="6"/>
        <v>241580.5077</v>
      </c>
      <c r="F20" s="11">
        <f t="shared" si="7"/>
        <v>0</v>
      </c>
      <c r="G20" s="14">
        <f t="shared" si="8"/>
        <v>343369.0715</v>
      </c>
      <c r="H20" s="11">
        <f t="shared" si="9"/>
        <v>0</v>
      </c>
      <c r="I20" s="11">
        <f t="shared" si="10"/>
        <v>13981.29055</v>
      </c>
      <c r="J20" s="15">
        <f t="shared" si="2"/>
        <v>40393.86166</v>
      </c>
      <c r="K20" s="18">
        <f t="shared" si="11"/>
        <v>84628.7143</v>
      </c>
      <c r="L20" s="12">
        <f t="shared" si="3"/>
        <v>0</v>
      </c>
      <c r="M20" s="16">
        <f t="shared" si="4"/>
        <v>669578.2935</v>
      </c>
    </row>
    <row r="21">
      <c r="A21" s="7">
        <v>54.0</v>
      </c>
      <c r="B21" s="11">
        <f t="shared" si="5"/>
        <v>41524.88979</v>
      </c>
      <c r="C21" s="12" t="str">
        <f t="shared" si="1"/>
        <v>Salary</v>
      </c>
      <c r="D21" s="7" t="s">
        <v>236</v>
      </c>
      <c r="E21" s="13">
        <f t="shared" si="6"/>
        <v>258491.1433</v>
      </c>
      <c r="F21" s="11">
        <f t="shared" si="7"/>
        <v>0</v>
      </c>
      <c r="G21" s="14">
        <f t="shared" si="8"/>
        <v>360537.5251</v>
      </c>
      <c r="H21" s="11">
        <f t="shared" si="9"/>
        <v>0</v>
      </c>
      <c r="I21" s="11">
        <f t="shared" si="10"/>
        <v>14372.76668</v>
      </c>
      <c r="J21" s="15">
        <f t="shared" si="2"/>
        <v>41524.88979</v>
      </c>
      <c r="K21" s="18">
        <f t="shared" si="11"/>
        <v>90552.7243</v>
      </c>
      <c r="L21" s="12">
        <f t="shared" si="3"/>
        <v>0</v>
      </c>
      <c r="M21" s="16">
        <f t="shared" si="4"/>
        <v>709581.3926</v>
      </c>
    </row>
    <row r="22">
      <c r="A22" s="7">
        <v>55.0</v>
      </c>
      <c r="B22" s="11">
        <f t="shared" si="5"/>
        <v>42687.5867</v>
      </c>
      <c r="C22" s="12" t="str">
        <f t="shared" si="1"/>
        <v>Salary</v>
      </c>
      <c r="D22" s="7" t="s">
        <v>236</v>
      </c>
      <c r="E22" s="13">
        <f t="shared" si="6"/>
        <v>276585.5233</v>
      </c>
      <c r="F22" s="11">
        <f t="shared" si="7"/>
        <v>0</v>
      </c>
      <c r="G22" s="14">
        <f t="shared" si="8"/>
        <v>378564.4013</v>
      </c>
      <c r="H22" s="11">
        <f t="shared" si="9"/>
        <v>0</v>
      </c>
      <c r="I22" s="11">
        <f t="shared" si="10"/>
        <v>14775.20415</v>
      </c>
      <c r="J22" s="15">
        <f t="shared" si="2"/>
        <v>42687.5867</v>
      </c>
      <c r="K22" s="18">
        <f t="shared" si="11"/>
        <v>96891.415</v>
      </c>
      <c r="L22" s="12">
        <f t="shared" si="3"/>
        <v>0</v>
      </c>
      <c r="M22" s="16">
        <f t="shared" si="4"/>
        <v>752041.3396</v>
      </c>
    </row>
    <row r="23">
      <c r="A23" s="7">
        <v>56.0</v>
      </c>
      <c r="B23" s="11">
        <f t="shared" si="5"/>
        <v>43882.83913</v>
      </c>
      <c r="C23" s="12" t="str">
        <f t="shared" si="1"/>
        <v>Salary</v>
      </c>
      <c r="D23" s="7" t="s">
        <v>236</v>
      </c>
      <c r="E23" s="13">
        <f t="shared" si="6"/>
        <v>295946.5099</v>
      </c>
      <c r="F23" s="11">
        <f t="shared" si="7"/>
        <v>0</v>
      </c>
      <c r="G23" s="14">
        <f t="shared" si="8"/>
        <v>397492.6214</v>
      </c>
      <c r="H23" s="11">
        <f t="shared" si="9"/>
        <v>0</v>
      </c>
      <c r="I23" s="11">
        <f t="shared" si="10"/>
        <v>15188.90986</v>
      </c>
      <c r="J23" s="15">
        <f t="shared" si="2"/>
        <v>43882.83913</v>
      </c>
      <c r="K23" s="18">
        <f t="shared" si="11"/>
        <v>103673.8141</v>
      </c>
      <c r="L23" s="12">
        <f t="shared" si="3"/>
        <v>0</v>
      </c>
      <c r="M23" s="16">
        <f t="shared" si="4"/>
        <v>797112.9454</v>
      </c>
    </row>
    <row r="24">
      <c r="A24" s="7">
        <v>57.0</v>
      </c>
      <c r="B24" s="11">
        <f t="shared" si="5"/>
        <v>45111.55863</v>
      </c>
      <c r="C24" s="12" t="str">
        <f t="shared" si="1"/>
        <v>ISA</v>
      </c>
      <c r="D24" s="7" t="s">
        <v>237</v>
      </c>
      <c r="E24" s="13">
        <f t="shared" si="6"/>
        <v>316662.7656</v>
      </c>
      <c r="F24" s="11">
        <f t="shared" si="7"/>
        <v>-45111.55863</v>
      </c>
      <c r="G24" s="14">
        <f t="shared" si="8"/>
        <v>417367.2524</v>
      </c>
      <c r="H24" s="11">
        <f t="shared" si="9"/>
        <v>0</v>
      </c>
      <c r="I24" s="11">
        <f t="shared" si="10"/>
        <v>15614.19934</v>
      </c>
      <c r="J24" s="15">
        <f t="shared" si="2"/>
        <v>45111.55863</v>
      </c>
      <c r="K24" s="18">
        <f t="shared" si="11"/>
        <v>110930.981</v>
      </c>
      <c r="L24" s="12">
        <f t="shared" si="3"/>
        <v>0</v>
      </c>
      <c r="M24" s="16">
        <f t="shared" si="4"/>
        <v>844960.9991</v>
      </c>
    </row>
    <row r="25">
      <c r="A25" s="7">
        <v>58.0</v>
      </c>
      <c r="B25" s="11">
        <f t="shared" si="5"/>
        <v>46374.68227</v>
      </c>
      <c r="C25" s="12" t="str">
        <f t="shared" si="1"/>
        <v>ISA</v>
      </c>
      <c r="D25" s="7" t="s">
        <v>237</v>
      </c>
      <c r="E25" s="13">
        <f t="shared" si="6"/>
        <v>293717.6006</v>
      </c>
      <c r="F25" s="11">
        <f t="shared" si="7"/>
        <v>-46374.68227</v>
      </c>
      <c r="G25" s="14">
        <f t="shared" si="8"/>
        <v>438235.6151</v>
      </c>
      <c r="H25" s="11">
        <f t="shared" si="9"/>
        <v>0</v>
      </c>
      <c r="I25" s="11">
        <f t="shared" si="10"/>
        <v>16051.39692</v>
      </c>
      <c r="J25" s="15">
        <f t="shared" si="2"/>
        <v>46374.68227</v>
      </c>
      <c r="K25" s="18">
        <f t="shared" si="11"/>
        <v>118696.1497</v>
      </c>
      <c r="L25" s="12">
        <f t="shared" si="3"/>
        <v>0</v>
      </c>
      <c r="M25" s="16">
        <f t="shared" si="4"/>
        <v>850649.3654</v>
      </c>
    </row>
    <row r="26">
      <c r="A26" s="7">
        <v>59.0</v>
      </c>
      <c r="B26" s="11">
        <f t="shared" si="5"/>
        <v>47673.17337</v>
      </c>
      <c r="C26" s="12" t="str">
        <f t="shared" si="1"/>
        <v>ISA</v>
      </c>
      <c r="D26" s="7" t="s">
        <v>237</v>
      </c>
      <c r="E26" s="13">
        <f t="shared" si="6"/>
        <v>267903.1504</v>
      </c>
      <c r="F26" s="11">
        <f t="shared" si="7"/>
        <v>-47673.17337</v>
      </c>
      <c r="G26" s="14">
        <f t="shared" si="8"/>
        <v>460147.3958</v>
      </c>
      <c r="H26" s="11">
        <f t="shared" si="9"/>
        <v>0</v>
      </c>
      <c r="I26" s="11">
        <f t="shared" si="10"/>
        <v>16500.83604</v>
      </c>
      <c r="J26" s="15">
        <f t="shared" si="2"/>
        <v>47673.17337</v>
      </c>
      <c r="K26" s="18">
        <f t="shared" si="11"/>
        <v>127004.8802</v>
      </c>
      <c r="L26" s="12">
        <f t="shared" si="3"/>
        <v>0</v>
      </c>
      <c r="M26" s="16">
        <f t="shared" si="4"/>
        <v>855055.4264</v>
      </c>
    </row>
    <row r="27">
      <c r="A27" s="7">
        <v>60.0</v>
      </c>
      <c r="B27" s="11">
        <f t="shared" si="5"/>
        <v>49008.02223</v>
      </c>
      <c r="C27" s="12" t="str">
        <f t="shared" si="1"/>
        <v>ISA</v>
      </c>
      <c r="D27" s="7" t="s">
        <v>237</v>
      </c>
      <c r="E27" s="13">
        <f t="shared" si="6"/>
        <v>238983.1975</v>
      </c>
      <c r="F27" s="11">
        <f t="shared" si="7"/>
        <v>-49008.02223</v>
      </c>
      <c r="G27" s="14">
        <f t="shared" si="8"/>
        <v>483154.7656</v>
      </c>
      <c r="H27" s="11">
        <f t="shared" si="9"/>
        <v>0</v>
      </c>
      <c r="I27" s="11">
        <f t="shared" si="10"/>
        <v>16962.85944</v>
      </c>
      <c r="J27" s="15">
        <f t="shared" si="2"/>
        <v>49008.02223</v>
      </c>
      <c r="K27" s="18">
        <f t="shared" si="11"/>
        <v>135895.2218</v>
      </c>
      <c r="L27" s="12">
        <f t="shared" si="3"/>
        <v>0</v>
      </c>
      <c r="M27" s="16">
        <f t="shared" si="4"/>
        <v>858033.1849</v>
      </c>
    </row>
    <row r="28">
      <c r="A28" s="7">
        <v>61.0</v>
      </c>
      <c r="B28" s="11">
        <f t="shared" si="5"/>
        <v>50380.24685</v>
      </c>
      <c r="C28" s="12" t="str">
        <f t="shared" si="1"/>
        <v>ISA</v>
      </c>
      <c r="D28" s="7" t="s">
        <v>237</v>
      </c>
      <c r="E28" s="13">
        <f t="shared" si="6"/>
        <v>206703.9991</v>
      </c>
      <c r="F28" s="11">
        <f t="shared" si="7"/>
        <v>-50380.24685</v>
      </c>
      <c r="G28" s="14">
        <f t="shared" si="8"/>
        <v>507312.5039</v>
      </c>
      <c r="H28" s="11">
        <f t="shared" si="9"/>
        <v>0</v>
      </c>
      <c r="I28" s="11">
        <f t="shared" si="10"/>
        <v>17437.81951</v>
      </c>
      <c r="J28" s="15">
        <f t="shared" si="2"/>
        <v>50380.24685</v>
      </c>
      <c r="K28" s="18">
        <f t="shared" si="11"/>
        <v>145407.8873</v>
      </c>
      <c r="L28" s="12">
        <f t="shared" si="3"/>
        <v>0</v>
      </c>
      <c r="M28" s="16">
        <f t="shared" si="4"/>
        <v>859424.3904</v>
      </c>
    </row>
    <row r="29">
      <c r="A29" s="7">
        <v>62.0</v>
      </c>
      <c r="B29" s="11">
        <f t="shared" si="5"/>
        <v>51790.89376</v>
      </c>
      <c r="C29" s="12" t="str">
        <f t="shared" si="1"/>
        <v>ISA</v>
      </c>
      <c r="D29" s="7" t="s">
        <v>237</v>
      </c>
      <c r="E29" s="13">
        <f t="shared" si="6"/>
        <v>170793.0322</v>
      </c>
      <c r="F29" s="11">
        <f t="shared" si="7"/>
        <v>-51790.89376</v>
      </c>
      <c r="G29" s="14">
        <f t="shared" si="8"/>
        <v>532678.1291</v>
      </c>
      <c r="H29" s="11">
        <f t="shared" si="9"/>
        <v>0</v>
      </c>
      <c r="I29" s="11">
        <f t="shared" si="10"/>
        <v>17926.07846</v>
      </c>
      <c r="J29" s="15">
        <f t="shared" si="2"/>
        <v>51790.89376</v>
      </c>
      <c r="K29" s="18">
        <f t="shared" si="11"/>
        <v>155586.4394</v>
      </c>
      <c r="L29" s="12">
        <f t="shared" si="3"/>
        <v>0</v>
      </c>
      <c r="M29" s="16">
        <f t="shared" si="4"/>
        <v>859057.6008</v>
      </c>
    </row>
    <row r="30">
      <c r="A30" s="7">
        <v>63.0</v>
      </c>
      <c r="B30" s="11">
        <f t="shared" si="5"/>
        <v>53241.03879</v>
      </c>
      <c r="C30" s="12" t="str">
        <f t="shared" si="1"/>
        <v>ISA</v>
      </c>
      <c r="D30" s="7" t="s">
        <v>237</v>
      </c>
      <c r="E30" s="13">
        <f t="shared" si="6"/>
        <v>130957.6507</v>
      </c>
      <c r="F30" s="11">
        <f t="shared" si="7"/>
        <v>-53241.03879</v>
      </c>
      <c r="G30" s="14">
        <f t="shared" si="8"/>
        <v>559312.0355</v>
      </c>
      <c r="H30" s="11">
        <f t="shared" si="9"/>
        <v>0</v>
      </c>
      <c r="I30" s="11">
        <f t="shared" si="10"/>
        <v>18428.00865</v>
      </c>
      <c r="J30" s="15">
        <f t="shared" si="2"/>
        <v>53241.03879</v>
      </c>
      <c r="K30" s="18">
        <f t="shared" si="11"/>
        <v>166477.4902</v>
      </c>
      <c r="L30" s="12">
        <f t="shared" si="3"/>
        <v>0</v>
      </c>
      <c r="M30" s="16">
        <f t="shared" si="4"/>
        <v>856747.1765</v>
      </c>
    </row>
    <row r="31">
      <c r="A31" s="7">
        <v>64.0</v>
      </c>
      <c r="B31" s="11">
        <f t="shared" si="5"/>
        <v>54731.78787</v>
      </c>
      <c r="C31" s="12" t="str">
        <f t="shared" si="1"/>
        <v>ISA</v>
      </c>
      <c r="D31" s="7" t="s">
        <v>237</v>
      </c>
      <c r="E31" s="13">
        <f t="shared" si="6"/>
        <v>86883.64749</v>
      </c>
      <c r="F31" s="11">
        <f t="shared" si="7"/>
        <v>-54731.78787</v>
      </c>
      <c r="G31" s="14">
        <f t="shared" si="8"/>
        <v>587277.6373</v>
      </c>
      <c r="H31" s="11">
        <f t="shared" si="9"/>
        <v>0</v>
      </c>
      <c r="I31" s="11">
        <f t="shared" si="10"/>
        <v>18943.99289</v>
      </c>
      <c r="J31" s="15">
        <f t="shared" si="2"/>
        <v>54731.78787</v>
      </c>
      <c r="K31" s="18">
        <f t="shared" si="11"/>
        <v>178130.9145</v>
      </c>
      <c r="L31" s="12">
        <f t="shared" si="3"/>
        <v>0</v>
      </c>
      <c r="M31" s="16">
        <f t="shared" si="4"/>
        <v>852292.1993</v>
      </c>
    </row>
    <row r="32">
      <c r="A32" s="7">
        <v>65.0</v>
      </c>
      <c r="B32" s="11">
        <f t="shared" si="5"/>
        <v>56264.27793</v>
      </c>
      <c r="C32" s="12" t="str">
        <f t="shared" si="1"/>
        <v>PP</v>
      </c>
      <c r="D32" s="7" t="s">
        <v>237</v>
      </c>
      <c r="E32" s="13">
        <f t="shared" si="6"/>
        <v>38233.71494</v>
      </c>
      <c r="F32" s="11">
        <f t="shared" si="7"/>
        <v>0</v>
      </c>
      <c r="G32" s="14">
        <f t="shared" si="8"/>
        <v>616641.5192</v>
      </c>
      <c r="H32" s="11">
        <f t="shared" si="9"/>
        <v>-66193.26816</v>
      </c>
      <c r="I32" s="11">
        <f t="shared" si="10"/>
        <v>19474.4247</v>
      </c>
      <c r="J32" s="15">
        <f t="shared" si="2"/>
        <v>56264.27793</v>
      </c>
      <c r="K32" s="18">
        <f t="shared" si="11"/>
        <v>190600.0785</v>
      </c>
      <c r="L32" s="12">
        <f t="shared" si="3"/>
        <v>0</v>
      </c>
      <c r="M32" s="16">
        <f t="shared" si="4"/>
        <v>845475.3127</v>
      </c>
    </row>
    <row r="33">
      <c r="A33" s="7">
        <v>66.0</v>
      </c>
      <c r="B33" s="11">
        <f t="shared" si="5"/>
        <v>57839.67771</v>
      </c>
      <c r="C33" s="12" t="str">
        <f t="shared" si="1"/>
        <v>PP</v>
      </c>
      <c r="D33" s="7" t="s">
        <v>237</v>
      </c>
      <c r="E33" s="13">
        <f t="shared" si="6"/>
        <v>40910.07499</v>
      </c>
      <c r="F33" s="11">
        <f t="shared" si="7"/>
        <v>0</v>
      </c>
      <c r="G33" s="14">
        <f t="shared" si="8"/>
        <v>581280.327</v>
      </c>
      <c r="H33" s="11">
        <f t="shared" si="9"/>
        <v>-68046.67966</v>
      </c>
      <c r="I33" s="11">
        <f t="shared" si="10"/>
        <v>20019.70859</v>
      </c>
      <c r="J33" s="15">
        <f t="shared" si="2"/>
        <v>57839.67771</v>
      </c>
      <c r="K33" s="18">
        <f t="shared" si="11"/>
        <v>203942.084</v>
      </c>
      <c r="L33" s="12">
        <f t="shared" si="3"/>
        <v>0</v>
      </c>
      <c r="M33" s="16">
        <f t="shared" si="4"/>
        <v>826132.486</v>
      </c>
    </row>
    <row r="34">
      <c r="A34" s="7">
        <v>67.0</v>
      </c>
      <c r="B34" s="11">
        <f t="shared" si="5"/>
        <v>59459.18869</v>
      </c>
      <c r="C34" s="12" t="str">
        <f t="shared" si="1"/>
        <v>PP</v>
      </c>
      <c r="D34" s="7" t="s">
        <v>237</v>
      </c>
      <c r="E34" s="13">
        <f t="shared" si="6"/>
        <v>43773.78024</v>
      </c>
      <c r="F34" s="11">
        <f t="shared" si="7"/>
        <v>0</v>
      </c>
      <c r="G34" s="14">
        <f t="shared" si="8"/>
        <v>542297.6637</v>
      </c>
      <c r="H34" s="11">
        <f t="shared" si="9"/>
        <v>-69951.98669</v>
      </c>
      <c r="I34" s="11">
        <f t="shared" si="10"/>
        <v>20580.26043</v>
      </c>
      <c r="J34" s="15">
        <f t="shared" si="2"/>
        <v>59459.18869</v>
      </c>
      <c r="K34" s="18">
        <f t="shared" si="11"/>
        <v>218218.0299</v>
      </c>
      <c r="L34" s="12">
        <f t="shared" si="3"/>
        <v>0</v>
      </c>
      <c r="M34" s="16">
        <f t="shared" si="4"/>
        <v>804289.4738</v>
      </c>
    </row>
    <row r="35">
      <c r="A35" s="7">
        <v>68.0</v>
      </c>
      <c r="B35" s="11">
        <f t="shared" si="5"/>
        <v>61124.04597</v>
      </c>
      <c r="C35" s="12" t="str">
        <f t="shared" si="1"/>
        <v>ISA</v>
      </c>
      <c r="D35" s="7" t="s">
        <v>237</v>
      </c>
      <c r="E35" s="13">
        <f t="shared" si="6"/>
        <v>46837.94486</v>
      </c>
      <c r="F35" s="11">
        <f t="shared" si="7"/>
        <v>-39967.53825</v>
      </c>
      <c r="G35" s="14">
        <f t="shared" si="8"/>
        <v>499460.5602</v>
      </c>
      <c r="H35" s="11">
        <f t="shared" si="9"/>
        <v>0</v>
      </c>
      <c r="I35" s="11">
        <f t="shared" si="10"/>
        <v>21156.50772</v>
      </c>
      <c r="J35" s="15">
        <f t="shared" si="2"/>
        <v>39967.53825</v>
      </c>
      <c r="K35" s="18">
        <f t="shared" si="11"/>
        <v>233493.292</v>
      </c>
      <c r="L35" s="12">
        <f t="shared" si="3"/>
        <v>0</v>
      </c>
      <c r="M35" s="16">
        <f t="shared" si="4"/>
        <v>779791.797</v>
      </c>
    </row>
    <row r="36">
      <c r="A36" s="7">
        <v>69.0</v>
      </c>
      <c r="B36" s="11">
        <f t="shared" si="5"/>
        <v>62835.51926</v>
      </c>
      <c r="C36" s="12" t="str">
        <f t="shared" si="1"/>
        <v>PP</v>
      </c>
      <c r="D36" s="7" t="s">
        <v>237</v>
      </c>
      <c r="E36" s="13">
        <f t="shared" si="6"/>
        <v>10149.06274</v>
      </c>
      <c r="F36" s="11">
        <f t="shared" si="7"/>
        <v>0</v>
      </c>
      <c r="G36" s="14">
        <f t="shared" si="8"/>
        <v>524433.5882</v>
      </c>
      <c r="H36" s="11">
        <f t="shared" si="9"/>
        <v>-48337.21097</v>
      </c>
      <c r="I36" s="11">
        <f t="shared" si="10"/>
        <v>21748.88994</v>
      </c>
      <c r="J36" s="15">
        <f t="shared" ref="J36:J57" si="12">IF(A36&gt;67, B36-I36,0)</f>
        <v>41086.62933</v>
      </c>
      <c r="K36" s="18">
        <f t="shared" si="11"/>
        <v>249837.8224</v>
      </c>
      <c r="L36" s="12">
        <f t="shared" si="3"/>
        <v>0</v>
      </c>
      <c r="M36" s="16">
        <f t="shared" si="4"/>
        <v>784420.4734</v>
      </c>
    </row>
    <row r="37">
      <c r="A37" s="7">
        <v>70.0</v>
      </c>
      <c r="B37" s="11">
        <f t="shared" si="5"/>
        <v>64594.9138</v>
      </c>
      <c r="C37" s="12" t="str">
        <f t="shared" si="1"/>
        <v>PP</v>
      </c>
      <c r="D37" s="7" t="s">
        <v>237</v>
      </c>
      <c r="E37" s="13">
        <f t="shared" si="6"/>
        <v>10859.49713</v>
      </c>
      <c r="F37" s="11">
        <f t="shared" si="7"/>
        <v>0</v>
      </c>
      <c r="G37" s="14">
        <f t="shared" si="8"/>
        <v>502318.0566</v>
      </c>
      <c r="H37" s="11">
        <f t="shared" si="9"/>
        <v>-49690.65288</v>
      </c>
      <c r="I37" s="11">
        <f t="shared" si="10"/>
        <v>22357.85885</v>
      </c>
      <c r="J37" s="15">
        <f t="shared" si="12"/>
        <v>42237.05495</v>
      </c>
      <c r="K37" s="18">
        <f t="shared" si="11"/>
        <v>267326.47</v>
      </c>
      <c r="L37" s="12">
        <f t="shared" si="3"/>
        <v>0</v>
      </c>
      <c r="M37" s="16">
        <f t="shared" si="4"/>
        <v>780504.0238</v>
      </c>
    </row>
    <row r="38">
      <c r="A38" s="7">
        <v>71.0</v>
      </c>
      <c r="B38" s="11">
        <f t="shared" si="5"/>
        <v>66403.57139</v>
      </c>
      <c r="C38" s="12" t="str">
        <f t="shared" si="1"/>
        <v>PP</v>
      </c>
      <c r="D38" s="7" t="s">
        <v>237</v>
      </c>
      <c r="E38" s="13">
        <f t="shared" si="6"/>
        <v>11619.66193</v>
      </c>
      <c r="F38" s="11">
        <f t="shared" si="7"/>
        <v>0</v>
      </c>
      <c r="G38" s="14">
        <f t="shared" si="8"/>
        <v>477743.3066</v>
      </c>
      <c r="H38" s="11">
        <f t="shared" si="9"/>
        <v>-51081.99116</v>
      </c>
      <c r="I38" s="11">
        <f t="shared" si="10"/>
        <v>22983.8789</v>
      </c>
      <c r="J38" s="15">
        <f t="shared" si="12"/>
        <v>43419.69248</v>
      </c>
      <c r="K38" s="18">
        <f t="shared" si="11"/>
        <v>286039.3229</v>
      </c>
      <c r="L38" s="12">
        <f t="shared" si="3"/>
        <v>0</v>
      </c>
      <c r="M38" s="16">
        <f t="shared" si="4"/>
        <v>775402.2914</v>
      </c>
    </row>
    <row r="39">
      <c r="A39" s="7">
        <v>72.0</v>
      </c>
      <c r="B39" s="11">
        <f t="shared" si="5"/>
        <v>68262.87139</v>
      </c>
      <c r="C39" s="12" t="str">
        <f t="shared" si="1"/>
        <v>PP</v>
      </c>
      <c r="D39" s="7" t="s">
        <v>237</v>
      </c>
      <c r="E39" s="13">
        <f t="shared" si="6"/>
        <v>12433.03827</v>
      </c>
      <c r="F39" s="11">
        <f t="shared" si="7"/>
        <v>0</v>
      </c>
      <c r="G39" s="14">
        <f t="shared" si="8"/>
        <v>450548.4807</v>
      </c>
      <c r="H39" s="11">
        <f t="shared" si="9"/>
        <v>-52512.28691</v>
      </c>
      <c r="I39" s="11">
        <f t="shared" si="10"/>
        <v>23627.42751</v>
      </c>
      <c r="J39" s="15">
        <f t="shared" si="12"/>
        <v>44635.44387</v>
      </c>
      <c r="K39" s="18">
        <f t="shared" si="11"/>
        <v>306062.0755</v>
      </c>
      <c r="L39" s="12">
        <f t="shared" si="3"/>
        <v>0</v>
      </c>
      <c r="M39" s="16">
        <f t="shared" si="4"/>
        <v>769043.5945</v>
      </c>
    </row>
    <row r="40">
      <c r="A40" s="7">
        <v>73.0</v>
      </c>
      <c r="B40" s="11">
        <f t="shared" si="5"/>
        <v>70174.23178</v>
      </c>
      <c r="C40" s="12" t="str">
        <f t="shared" si="1"/>
        <v>PP</v>
      </c>
      <c r="D40" s="7" t="s">
        <v>237</v>
      </c>
      <c r="E40" s="13">
        <f t="shared" si="6"/>
        <v>13303.35095</v>
      </c>
      <c r="F40" s="11">
        <f t="shared" si="7"/>
        <v>0</v>
      </c>
      <c r="G40" s="14">
        <f t="shared" si="8"/>
        <v>420563.6179</v>
      </c>
      <c r="H40" s="11">
        <f t="shared" si="9"/>
        <v>-53982.63094</v>
      </c>
      <c r="I40" s="11">
        <f t="shared" si="10"/>
        <v>24288.99548</v>
      </c>
      <c r="J40" s="15">
        <f t="shared" si="12"/>
        <v>45885.2363</v>
      </c>
      <c r="K40" s="18">
        <f t="shared" si="11"/>
        <v>327486.4208</v>
      </c>
      <c r="L40" s="12">
        <f t="shared" si="3"/>
        <v>0</v>
      </c>
      <c r="M40" s="16">
        <f t="shared" si="4"/>
        <v>761353.3896</v>
      </c>
    </row>
    <row r="41">
      <c r="A41" s="7">
        <v>74.0</v>
      </c>
      <c r="B41" s="11">
        <f t="shared" si="5"/>
        <v>72139.11027</v>
      </c>
      <c r="C41" s="12" t="str">
        <f t="shared" si="1"/>
        <v>PP</v>
      </c>
      <c r="D41" s="7" t="s">
        <v>237</v>
      </c>
      <c r="E41" s="13">
        <f t="shared" si="6"/>
        <v>14234.58551</v>
      </c>
      <c r="F41" s="11">
        <f t="shared" si="7"/>
        <v>0</v>
      </c>
      <c r="G41" s="14">
        <f t="shared" si="8"/>
        <v>387609.1678</v>
      </c>
      <c r="H41" s="11">
        <f t="shared" si="9"/>
        <v>-55494.14461</v>
      </c>
      <c r="I41" s="11">
        <f t="shared" si="10"/>
        <v>24969.08735</v>
      </c>
      <c r="J41" s="15">
        <f t="shared" si="12"/>
        <v>47170.02292</v>
      </c>
      <c r="K41" s="18">
        <f t="shared" si="11"/>
        <v>350410.4703</v>
      </c>
      <c r="L41" s="12">
        <f t="shared" si="3"/>
        <v>0</v>
      </c>
      <c r="M41" s="16">
        <f t="shared" si="4"/>
        <v>752254.2236</v>
      </c>
    </row>
    <row r="42">
      <c r="A42" s="7">
        <v>75.0</v>
      </c>
      <c r="B42" s="11">
        <f t="shared" si="5"/>
        <v>74159.00536</v>
      </c>
      <c r="C42" s="12" t="str">
        <f t="shared" si="1"/>
        <v>PP</v>
      </c>
      <c r="D42" s="7" t="s">
        <v>237</v>
      </c>
      <c r="E42" s="13">
        <f t="shared" si="6"/>
        <v>15231.0065</v>
      </c>
      <c r="F42" s="11">
        <f t="shared" si="7"/>
        <v>0</v>
      </c>
      <c r="G42" s="14">
        <f t="shared" si="8"/>
        <v>351495.4816</v>
      </c>
      <c r="H42" s="11">
        <f t="shared" si="9"/>
        <v>-57047.98066</v>
      </c>
      <c r="I42" s="11">
        <f t="shared" si="10"/>
        <v>25668.2218</v>
      </c>
      <c r="J42" s="15">
        <f t="shared" si="12"/>
        <v>48490.78356</v>
      </c>
      <c r="K42" s="18">
        <f t="shared" si="11"/>
        <v>374939.2032</v>
      </c>
      <c r="L42" s="12">
        <f t="shared" si="3"/>
        <v>0</v>
      </c>
      <c r="M42" s="16">
        <f t="shared" si="4"/>
        <v>741665.6913</v>
      </c>
    </row>
    <row r="43">
      <c r="A43" s="7">
        <v>76.0</v>
      </c>
      <c r="B43" s="11">
        <f t="shared" si="5"/>
        <v>76235.45751</v>
      </c>
      <c r="C43" s="12" t="str">
        <f t="shared" si="1"/>
        <v>PP</v>
      </c>
      <c r="D43" s="7" t="s">
        <v>237</v>
      </c>
      <c r="E43" s="13">
        <f t="shared" si="6"/>
        <v>16297.17695</v>
      </c>
      <c r="F43" s="11">
        <f t="shared" si="7"/>
        <v>0</v>
      </c>
      <c r="G43" s="14">
        <f t="shared" si="8"/>
        <v>312022.275</v>
      </c>
      <c r="H43" s="11">
        <f t="shared" si="9"/>
        <v>-58645.32412</v>
      </c>
      <c r="I43" s="11">
        <f t="shared" si="10"/>
        <v>26386.93201</v>
      </c>
      <c r="J43" s="15">
        <f t="shared" si="12"/>
        <v>49848.5255</v>
      </c>
      <c r="K43" s="18">
        <f t="shared" si="11"/>
        <v>401184.9474</v>
      </c>
      <c r="L43" s="12">
        <f t="shared" si="3"/>
        <v>0</v>
      </c>
      <c r="M43" s="16">
        <f t="shared" si="4"/>
        <v>729504.3994</v>
      </c>
    </row>
    <row r="44">
      <c r="A44" s="7">
        <v>77.0</v>
      </c>
      <c r="B44" s="11">
        <f t="shared" si="5"/>
        <v>78370.05032</v>
      </c>
      <c r="C44" s="12" t="str">
        <f t="shared" si="1"/>
        <v>PP</v>
      </c>
      <c r="D44" s="7" t="s">
        <v>237</v>
      </c>
      <c r="E44" s="13">
        <f t="shared" si="6"/>
        <v>17437.97934</v>
      </c>
      <c r="F44" s="11">
        <f t="shared" si="7"/>
        <v>0</v>
      </c>
      <c r="G44" s="14">
        <f t="shared" si="8"/>
        <v>268978.0646</v>
      </c>
      <c r="H44" s="11">
        <f t="shared" si="9"/>
        <v>-60287.39319</v>
      </c>
      <c r="I44" s="11">
        <f t="shared" si="10"/>
        <v>27125.76611</v>
      </c>
      <c r="J44" s="15">
        <f t="shared" si="12"/>
        <v>51244.28421</v>
      </c>
      <c r="K44" s="18">
        <f t="shared" si="11"/>
        <v>429267.8937</v>
      </c>
      <c r="L44" s="12">
        <f t="shared" si="3"/>
        <v>0</v>
      </c>
      <c r="M44" s="16">
        <f t="shared" si="4"/>
        <v>715683.9377</v>
      </c>
    </row>
    <row r="45">
      <c r="A45" s="7">
        <v>78.0</v>
      </c>
      <c r="B45" s="11">
        <f t="shared" si="5"/>
        <v>80564.41173</v>
      </c>
      <c r="C45" s="12" t="str">
        <f t="shared" si="1"/>
        <v>PP</v>
      </c>
      <c r="D45" s="7" t="s">
        <v>237</v>
      </c>
      <c r="E45" s="13">
        <f t="shared" si="6"/>
        <v>18658.63789</v>
      </c>
      <c r="F45" s="11">
        <f t="shared" si="7"/>
        <v>0</v>
      </c>
      <c r="G45" s="14">
        <f t="shared" si="8"/>
        <v>222139.5747</v>
      </c>
      <c r="H45" s="11">
        <f t="shared" si="9"/>
        <v>-61975.4402</v>
      </c>
      <c r="I45" s="11">
        <f t="shared" si="10"/>
        <v>27885.28756</v>
      </c>
      <c r="J45" s="15">
        <f t="shared" si="12"/>
        <v>52679.12417</v>
      </c>
      <c r="K45" s="18">
        <f t="shared" si="11"/>
        <v>459316.6463</v>
      </c>
      <c r="L45" s="12">
        <f t="shared" si="3"/>
        <v>0</v>
      </c>
      <c r="M45" s="16">
        <f t="shared" si="4"/>
        <v>700114.8588</v>
      </c>
    </row>
    <row r="46">
      <c r="A46" s="7">
        <v>79.0</v>
      </c>
      <c r="B46" s="11">
        <f t="shared" si="5"/>
        <v>82820.21526</v>
      </c>
      <c r="C46" s="12" t="str">
        <f t="shared" si="1"/>
        <v>PP</v>
      </c>
      <c r="D46" s="7" t="s">
        <v>237</v>
      </c>
      <c r="E46" s="13">
        <f t="shared" si="6"/>
        <v>19964.74255</v>
      </c>
      <c r="F46" s="11">
        <f t="shared" si="7"/>
        <v>0</v>
      </c>
      <c r="G46" s="14">
        <f t="shared" si="8"/>
        <v>171271.1132</v>
      </c>
      <c r="H46" s="11">
        <f t="shared" si="9"/>
        <v>-63710.75253</v>
      </c>
      <c r="I46" s="11">
        <f t="shared" si="10"/>
        <v>28666.07561</v>
      </c>
      <c r="J46" s="15">
        <f t="shared" si="12"/>
        <v>54154.13965</v>
      </c>
      <c r="K46" s="18">
        <f t="shared" si="11"/>
        <v>491468.8115</v>
      </c>
      <c r="L46" s="12">
        <f t="shared" si="3"/>
        <v>0</v>
      </c>
      <c r="M46" s="16">
        <f t="shared" si="4"/>
        <v>682704.6673</v>
      </c>
    </row>
    <row r="47">
      <c r="A47" s="7">
        <v>80.0</v>
      </c>
      <c r="B47" s="11">
        <f t="shared" si="5"/>
        <v>85139.18129</v>
      </c>
      <c r="C47" s="12" t="str">
        <f t="shared" si="1"/>
        <v>PP</v>
      </c>
      <c r="D47" s="7" t="s">
        <v>237</v>
      </c>
      <c r="E47" s="13">
        <f t="shared" si="6"/>
        <v>21362.27452</v>
      </c>
      <c r="F47" s="11">
        <f t="shared" si="7"/>
        <v>0</v>
      </c>
      <c r="G47" s="14">
        <f t="shared" si="8"/>
        <v>116123.9163</v>
      </c>
      <c r="H47" s="11">
        <f t="shared" si="9"/>
        <v>-65494.6536</v>
      </c>
      <c r="I47" s="11">
        <f t="shared" si="10"/>
        <v>29468.72573</v>
      </c>
      <c r="J47" s="15">
        <f t="shared" si="12"/>
        <v>55670.45556</v>
      </c>
      <c r="K47" s="18">
        <f t="shared" si="11"/>
        <v>525871.6283</v>
      </c>
      <c r="L47" s="12">
        <f t="shared" si="3"/>
        <v>0</v>
      </c>
      <c r="M47" s="16">
        <f t="shared" si="4"/>
        <v>663357.8192</v>
      </c>
    </row>
    <row r="48">
      <c r="A48" s="7">
        <v>81.0</v>
      </c>
      <c r="B48" s="11">
        <f t="shared" si="5"/>
        <v>87523.07836</v>
      </c>
      <c r="C48" s="12" t="str">
        <f t="shared" si="1"/>
        <v>ISA+PP</v>
      </c>
      <c r="D48" s="7" t="s">
        <v>237</v>
      </c>
      <c r="E48" s="13">
        <f t="shared" si="6"/>
        <v>22857.63374</v>
      </c>
      <c r="F48" s="11">
        <f t="shared" si="7"/>
        <v>-22857.63374</v>
      </c>
      <c r="G48" s="14">
        <f t="shared" si="8"/>
        <v>56435.45855</v>
      </c>
      <c r="H48" s="11">
        <f t="shared" si="9"/>
        <v>-40437.17009</v>
      </c>
      <c r="I48" s="11">
        <f t="shared" si="10"/>
        <v>30293.85005</v>
      </c>
      <c r="J48" s="15">
        <f t="shared" si="12"/>
        <v>57229.22832</v>
      </c>
      <c r="K48" s="18">
        <f t="shared" si="11"/>
        <v>562682.6423</v>
      </c>
      <c r="L48" s="12">
        <f t="shared" si="3"/>
        <v>0</v>
      </c>
      <c r="M48" s="16">
        <f t="shared" si="4"/>
        <v>641975.7346</v>
      </c>
    </row>
    <row r="49">
      <c r="A49" s="7">
        <v>82.0</v>
      </c>
      <c r="B49" s="11">
        <f t="shared" si="5"/>
        <v>89973.72456</v>
      </c>
      <c r="C49" s="12" t="str">
        <f t="shared" si="1"/>
        <v>LISA</v>
      </c>
      <c r="D49" s="7" t="s">
        <v>237</v>
      </c>
      <c r="E49" s="13">
        <f t="shared" si="6"/>
        <v>1600.034362</v>
      </c>
      <c r="F49" s="11">
        <f t="shared" si="7"/>
        <v>0</v>
      </c>
      <c r="G49" s="14">
        <f t="shared" si="8"/>
        <v>18820.06139</v>
      </c>
      <c r="H49" s="11">
        <f t="shared" si="9"/>
        <v>0</v>
      </c>
      <c r="I49" s="11">
        <f t="shared" si="10"/>
        <v>31142.07785</v>
      </c>
      <c r="J49" s="15">
        <f t="shared" si="12"/>
        <v>58831.64671</v>
      </c>
      <c r="K49" s="18">
        <f t="shared" si="11"/>
        <v>602070.4273</v>
      </c>
      <c r="L49" s="11">
        <f t="shared" si="3"/>
        <v>-58831.64671</v>
      </c>
      <c r="M49" s="16">
        <f t="shared" si="4"/>
        <v>622490.523</v>
      </c>
    </row>
    <row r="50">
      <c r="A50" s="7">
        <v>83.0</v>
      </c>
      <c r="B50" s="11">
        <f t="shared" si="5"/>
        <v>92492.98884</v>
      </c>
      <c r="C50" s="12" t="str">
        <f t="shared" si="1"/>
        <v>LISA</v>
      </c>
      <c r="D50" s="7" t="s">
        <v>237</v>
      </c>
      <c r="E50" s="13">
        <f t="shared" si="6"/>
        <v>1712.036767</v>
      </c>
      <c r="F50" s="11">
        <f t="shared" si="7"/>
        <v>0</v>
      </c>
      <c r="G50" s="14">
        <f t="shared" si="8"/>
        <v>19761.06446</v>
      </c>
      <c r="H50" s="11">
        <f t="shared" si="9"/>
        <v>0</v>
      </c>
      <c r="I50" s="11">
        <f t="shared" si="10"/>
        <v>32014.05603</v>
      </c>
      <c r="J50" s="15">
        <f t="shared" si="12"/>
        <v>60478.93282</v>
      </c>
      <c r="K50" s="18">
        <f t="shared" si="11"/>
        <v>585383.7105</v>
      </c>
      <c r="L50" s="11">
        <f t="shared" si="3"/>
        <v>-60478.93282</v>
      </c>
      <c r="M50" s="16">
        <f t="shared" si="4"/>
        <v>606856.8117</v>
      </c>
    </row>
    <row r="51">
      <c r="A51" s="7">
        <v>84.0</v>
      </c>
      <c r="B51" s="11">
        <f t="shared" si="5"/>
        <v>95082.79253</v>
      </c>
      <c r="C51" s="12" t="str">
        <f t="shared" si="1"/>
        <v>LISA</v>
      </c>
      <c r="D51" s="7" t="s">
        <v>237</v>
      </c>
      <c r="E51" s="13">
        <f t="shared" si="6"/>
        <v>1831.879341</v>
      </c>
      <c r="F51" s="11">
        <f t="shared" si="7"/>
        <v>0</v>
      </c>
      <c r="G51" s="14">
        <f t="shared" si="8"/>
        <v>20749.11768</v>
      </c>
      <c r="H51" s="11">
        <f t="shared" si="9"/>
        <v>0</v>
      </c>
      <c r="I51" s="11">
        <f t="shared" si="10"/>
        <v>32910.4496</v>
      </c>
      <c r="J51" s="15">
        <f t="shared" si="12"/>
        <v>62172.34293</v>
      </c>
      <c r="K51" s="18">
        <f t="shared" si="11"/>
        <v>565881.6374</v>
      </c>
      <c r="L51" s="11">
        <f t="shared" si="3"/>
        <v>-62172.34293</v>
      </c>
      <c r="M51" s="16">
        <f t="shared" si="4"/>
        <v>588462.6344</v>
      </c>
    </row>
    <row r="52">
      <c r="A52" s="7">
        <v>85.0</v>
      </c>
      <c r="B52" s="11">
        <f t="shared" si="5"/>
        <v>97745.11072</v>
      </c>
      <c r="C52" s="12" t="str">
        <f t="shared" si="1"/>
        <v>LISA</v>
      </c>
      <c r="D52" s="7" t="s">
        <v>237</v>
      </c>
      <c r="E52" s="13">
        <f t="shared" si="6"/>
        <v>1960.110895</v>
      </c>
      <c r="F52" s="11">
        <f t="shared" si="7"/>
        <v>0</v>
      </c>
      <c r="G52" s="14">
        <f t="shared" si="8"/>
        <v>21786.57357</v>
      </c>
      <c r="H52" s="11">
        <f t="shared" si="9"/>
        <v>0</v>
      </c>
      <c r="I52" s="11">
        <f t="shared" si="10"/>
        <v>33831.94219</v>
      </c>
      <c r="J52" s="15">
        <f t="shared" si="12"/>
        <v>63913.16854</v>
      </c>
      <c r="K52" s="18">
        <f t="shared" si="11"/>
        <v>543321.0091</v>
      </c>
      <c r="L52" s="11">
        <f t="shared" si="3"/>
        <v>-63913.16854</v>
      </c>
      <c r="M52" s="16">
        <f t="shared" si="4"/>
        <v>567067.6935</v>
      </c>
    </row>
    <row r="53">
      <c r="A53" s="7">
        <v>86.0</v>
      </c>
      <c r="B53" s="11">
        <f t="shared" si="5"/>
        <v>100481.9738</v>
      </c>
      <c r="C53" s="12" t="str">
        <f t="shared" si="1"/>
        <v>LISA</v>
      </c>
      <c r="D53" s="7" t="s">
        <v>237</v>
      </c>
      <c r="E53" s="13">
        <f t="shared" si="6"/>
        <v>2097.318657</v>
      </c>
      <c r="F53" s="11">
        <f t="shared" si="7"/>
        <v>0</v>
      </c>
      <c r="G53" s="14">
        <f t="shared" si="8"/>
        <v>22875.90224</v>
      </c>
      <c r="H53" s="11">
        <f t="shared" si="9"/>
        <v>0</v>
      </c>
      <c r="I53" s="11">
        <f t="shared" si="10"/>
        <v>34779.23657</v>
      </c>
      <c r="J53" s="15">
        <f t="shared" si="12"/>
        <v>65702.73726</v>
      </c>
      <c r="K53" s="18">
        <f t="shared" si="11"/>
        <v>517440.3112</v>
      </c>
      <c r="L53" s="11">
        <f t="shared" si="3"/>
        <v>-65702.73726</v>
      </c>
      <c r="M53" s="16">
        <f t="shared" si="4"/>
        <v>542413.5321</v>
      </c>
    </row>
    <row r="54">
      <c r="A54" s="7">
        <v>87.0</v>
      </c>
      <c r="B54" s="11">
        <f t="shared" si="5"/>
        <v>103295.4691</v>
      </c>
      <c r="C54" s="12" t="str">
        <f t="shared" si="1"/>
        <v>LISA</v>
      </c>
      <c r="D54" s="7" t="s">
        <v>237</v>
      </c>
      <c r="E54" s="13">
        <f t="shared" si="6"/>
        <v>2244.130963</v>
      </c>
      <c r="F54" s="11">
        <f t="shared" si="7"/>
        <v>0</v>
      </c>
      <c r="G54" s="14">
        <f t="shared" si="8"/>
        <v>24019.69736</v>
      </c>
      <c r="H54" s="11">
        <f t="shared" si="9"/>
        <v>0</v>
      </c>
      <c r="I54" s="11">
        <f t="shared" si="10"/>
        <v>35753.05519</v>
      </c>
      <c r="J54" s="15">
        <f t="shared" si="12"/>
        <v>67542.4139</v>
      </c>
      <c r="K54" s="18">
        <f t="shared" si="11"/>
        <v>487958.3957</v>
      </c>
      <c r="L54" s="11">
        <f t="shared" si="3"/>
        <v>-67542.4139</v>
      </c>
      <c r="M54" s="16">
        <f t="shared" si="4"/>
        <v>514222.224</v>
      </c>
    </row>
    <row r="55">
      <c r="A55" s="7">
        <v>88.0</v>
      </c>
      <c r="B55" s="11">
        <f t="shared" si="5"/>
        <v>106187.7422</v>
      </c>
      <c r="C55" s="12" t="str">
        <f t="shared" si="1"/>
        <v>LISA</v>
      </c>
      <c r="D55" s="7" t="s">
        <v>237</v>
      </c>
      <c r="E55" s="13">
        <f t="shared" si="6"/>
        <v>2401.220131</v>
      </c>
      <c r="F55" s="11">
        <f t="shared" si="7"/>
        <v>0</v>
      </c>
      <c r="G55" s="14">
        <f t="shared" si="8"/>
        <v>25220.68222</v>
      </c>
      <c r="H55" s="11">
        <f t="shared" si="9"/>
        <v>0</v>
      </c>
      <c r="I55" s="11">
        <f t="shared" si="10"/>
        <v>36754.14074</v>
      </c>
      <c r="J55" s="15">
        <f t="shared" si="12"/>
        <v>69433.60149</v>
      </c>
      <c r="K55" s="18">
        <f t="shared" si="11"/>
        <v>454573.0695</v>
      </c>
      <c r="L55" s="11">
        <f t="shared" si="3"/>
        <v>-69433.60149</v>
      </c>
      <c r="M55" s="16">
        <f t="shared" si="4"/>
        <v>482194.9718</v>
      </c>
    </row>
    <row r="56">
      <c r="A56" s="7">
        <v>89.0</v>
      </c>
      <c r="B56" s="11">
        <f t="shared" si="5"/>
        <v>109160.999</v>
      </c>
      <c r="C56" s="12" t="str">
        <f t="shared" si="1"/>
        <v>LISA</v>
      </c>
      <c r="D56" s="7" t="s">
        <v>237</v>
      </c>
      <c r="E56" s="13">
        <f t="shared" si="6"/>
        <v>2569.30554</v>
      </c>
      <c r="F56" s="11">
        <f t="shared" si="7"/>
        <v>0</v>
      </c>
      <c r="G56" s="14">
        <f t="shared" si="8"/>
        <v>26481.71634</v>
      </c>
      <c r="H56" s="11">
        <f t="shared" si="9"/>
        <v>0</v>
      </c>
      <c r="I56" s="11">
        <f t="shared" si="10"/>
        <v>37783.25668</v>
      </c>
      <c r="J56" s="15">
        <f t="shared" si="12"/>
        <v>71377.74233</v>
      </c>
      <c r="K56" s="18">
        <f t="shared" si="11"/>
        <v>416959.5829</v>
      </c>
      <c r="L56" s="11">
        <f t="shared" si="3"/>
        <v>-71377.74233</v>
      </c>
      <c r="M56" s="16">
        <f t="shared" si="4"/>
        <v>446010.6047</v>
      </c>
    </row>
    <row r="57">
      <c r="A57" s="7">
        <v>90.0</v>
      </c>
      <c r="B57" s="11">
        <f t="shared" si="5"/>
        <v>112217.507</v>
      </c>
      <c r="C57" s="12" t="str">
        <f t="shared" si="1"/>
        <v>LISA</v>
      </c>
      <c r="D57" s="7" t="s">
        <v>237</v>
      </c>
      <c r="E57" s="13">
        <f t="shared" si="6"/>
        <v>2749.156928</v>
      </c>
      <c r="F57" s="11">
        <f t="shared" si="7"/>
        <v>0</v>
      </c>
      <c r="G57" s="14">
        <f t="shared" si="8"/>
        <v>27805.80215</v>
      </c>
      <c r="H57" s="11">
        <f t="shared" si="9"/>
        <v>0</v>
      </c>
      <c r="I57" s="11">
        <f t="shared" si="10"/>
        <v>38841.18786</v>
      </c>
      <c r="J57" s="15">
        <f t="shared" si="12"/>
        <v>73376.31912</v>
      </c>
      <c r="K57" s="18">
        <f t="shared" si="11"/>
        <v>374769.0113</v>
      </c>
      <c r="L57" s="11">
        <f t="shared" si="3"/>
        <v>-73376.31912</v>
      </c>
      <c r="M57" s="16">
        <f t="shared" si="4"/>
        <v>405323.9704</v>
      </c>
    </row>
  </sheetData>
  <conditionalFormatting sqref="C8:C57">
    <cfRule type="cellIs" dxfId="0" priority="1" operator="equal">
      <formula>"Salary"</formula>
    </cfRule>
  </conditionalFormatting>
  <conditionalFormatting sqref="C8:C57">
    <cfRule type="cellIs" dxfId="1" priority="2" operator="equal">
      <formula>"ISA"</formula>
    </cfRule>
  </conditionalFormatting>
  <conditionalFormatting sqref="C8:C57">
    <cfRule type="cellIs" dxfId="2" priority="3" operator="equal">
      <formula>"PP"</formula>
    </cfRule>
  </conditionalFormatting>
  <conditionalFormatting sqref="B6">
    <cfRule type="expression" dxfId="3" priority="4">
      <formula>COUNTIFS($C:$C, "Salary", $D:$D, "FI") &gt; 0</formula>
    </cfRule>
  </conditionalFormatting>
  <dataValidations>
    <dataValidation type="list" allowBlank="1" showErrorMessage="1" sqref="D8:D57">
      <formula1>"Building,Coasting,FI"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3" max="3" width="13.75"/>
    <col customWidth="1" min="4" max="4" width="13.38"/>
    <col customWidth="1" min="5" max="5" width="14.63"/>
    <col customWidth="1" min="6" max="6" width="16.75"/>
    <col customWidth="1" min="7" max="7" width="20.13"/>
    <col customWidth="1" min="8" max="8" width="25.88"/>
    <col customWidth="1" min="9" max="9" width="25.38"/>
    <col customWidth="1" min="10" max="10" width="25.5"/>
    <col customWidth="1" min="11" max="11" width="14.88"/>
  </cols>
  <sheetData>
    <row r="1" ht="22.5" customHeight="1">
      <c r="A1" s="19" t="s">
        <v>241</v>
      </c>
      <c r="B1" s="19" t="s">
        <v>242</v>
      </c>
      <c r="C1" s="19" t="s">
        <v>243</v>
      </c>
      <c r="D1" s="19" t="s">
        <v>244</v>
      </c>
      <c r="E1" s="19" t="s">
        <v>245</v>
      </c>
      <c r="F1" s="19" t="s">
        <v>246</v>
      </c>
      <c r="G1" s="19" t="s">
        <v>247</v>
      </c>
      <c r="H1" s="19" t="s">
        <v>248</v>
      </c>
      <c r="I1" s="19" t="s">
        <v>249</v>
      </c>
      <c r="J1" s="19" t="s">
        <v>233</v>
      </c>
      <c r="K1" s="19" t="s">
        <v>250</v>
      </c>
    </row>
    <row r="2" ht="22.5" customHeight="1">
      <c r="A2" s="20">
        <v>41.0</v>
      </c>
      <c r="B2" s="20">
        <v>30686.0</v>
      </c>
      <c r="C2" s="21" t="s">
        <v>251</v>
      </c>
      <c r="D2" s="21" t="s">
        <v>235</v>
      </c>
      <c r="E2" s="20">
        <v>31000.0</v>
      </c>
      <c r="F2" s="20">
        <f t="shared" ref="F2:F8" si="1">IF(D2="Building", 16000, IF(TRIM(D2)="Coasting", 0, 16000))</f>
        <v>16000</v>
      </c>
      <c r="G2" s="20">
        <v>51873.0</v>
      </c>
      <c r="H2" s="20">
        <f t="shared" ref="H2:H8" si="2">IF(D2="Building", 27450, IF(TRIM(D2)="Coasting", 0, 85000*21%+800*12))</f>
        <v>27450</v>
      </c>
      <c r="I2" s="20">
        <f>12547*0.8</f>
        <v>10037.6</v>
      </c>
      <c r="J2" s="22"/>
      <c r="K2" s="22">
        <f t="shared" ref="K2:K51" si="3">G2+E2</f>
        <v>82873</v>
      </c>
    </row>
    <row r="3" ht="22.5" customHeight="1">
      <c r="A3" s="20">
        <v>42.0</v>
      </c>
      <c r="B3" s="22">
        <f t="shared" ref="B3:B51" si="4">B2*1.028</f>
        <v>31545.208</v>
      </c>
      <c r="C3" s="21" t="s">
        <v>251</v>
      </c>
      <c r="D3" s="21" t="s">
        <v>235</v>
      </c>
      <c r="E3" s="20">
        <f t="shared" ref="E3:E51" si="5">E2*1.07+F2</f>
        <v>49170</v>
      </c>
      <c r="F3" s="20">
        <f t="shared" si="1"/>
        <v>16000</v>
      </c>
      <c r="G3" s="22">
        <f t="shared" ref="G3:G51" si="6">G2*1.05+H2</f>
        <v>81916.65</v>
      </c>
      <c r="H3" s="20">
        <f t="shared" si="2"/>
        <v>27450</v>
      </c>
      <c r="I3" s="22">
        <f t="shared" ref="I3:I51" si="7">I2*1.028</f>
        <v>10318.6528</v>
      </c>
      <c r="J3" s="22"/>
      <c r="K3" s="22">
        <f t="shared" si="3"/>
        <v>131086.65</v>
      </c>
    </row>
    <row r="4" ht="22.5" customHeight="1">
      <c r="A4" s="20">
        <v>43.0</v>
      </c>
      <c r="B4" s="22">
        <f t="shared" si="4"/>
        <v>32428.47382</v>
      </c>
      <c r="C4" s="21" t="s">
        <v>251</v>
      </c>
      <c r="D4" s="21" t="s">
        <v>235</v>
      </c>
      <c r="E4" s="20">
        <f t="shared" si="5"/>
        <v>68611.9</v>
      </c>
      <c r="F4" s="20">
        <f t="shared" si="1"/>
        <v>16000</v>
      </c>
      <c r="G4" s="22">
        <f t="shared" si="6"/>
        <v>113462.4825</v>
      </c>
      <c r="H4" s="20">
        <f t="shared" si="2"/>
        <v>27450</v>
      </c>
      <c r="I4" s="22">
        <f t="shared" si="7"/>
        <v>10607.57508</v>
      </c>
      <c r="J4" s="22"/>
      <c r="K4" s="22">
        <f t="shared" si="3"/>
        <v>182074.3825</v>
      </c>
    </row>
    <row r="5" ht="22.5" customHeight="1">
      <c r="A5" s="20">
        <v>44.0</v>
      </c>
      <c r="B5" s="22">
        <f t="shared" si="4"/>
        <v>33336.47109</v>
      </c>
      <c r="C5" s="21" t="s">
        <v>251</v>
      </c>
      <c r="D5" s="21" t="s">
        <v>235</v>
      </c>
      <c r="E5" s="20">
        <f t="shared" si="5"/>
        <v>89414.733</v>
      </c>
      <c r="F5" s="20">
        <f t="shared" si="1"/>
        <v>16000</v>
      </c>
      <c r="G5" s="22">
        <f t="shared" si="6"/>
        <v>146585.6066</v>
      </c>
      <c r="H5" s="20">
        <f t="shared" si="2"/>
        <v>27450</v>
      </c>
      <c r="I5" s="22">
        <f t="shared" si="7"/>
        <v>10904.58718</v>
      </c>
      <c r="J5" s="22"/>
      <c r="K5" s="22">
        <f t="shared" si="3"/>
        <v>236000.3396</v>
      </c>
    </row>
    <row r="6" ht="22.5" customHeight="1">
      <c r="A6" s="20">
        <v>45.0</v>
      </c>
      <c r="B6" s="22">
        <f t="shared" si="4"/>
        <v>34269.89228</v>
      </c>
      <c r="C6" s="21" t="s">
        <v>251</v>
      </c>
      <c r="D6" s="21" t="s">
        <v>235</v>
      </c>
      <c r="E6" s="20">
        <f t="shared" si="5"/>
        <v>111673.7643</v>
      </c>
      <c r="F6" s="20">
        <f t="shared" si="1"/>
        <v>16000</v>
      </c>
      <c r="G6" s="22">
        <f t="shared" si="6"/>
        <v>181364.887</v>
      </c>
      <c r="H6" s="20">
        <f t="shared" si="2"/>
        <v>27450</v>
      </c>
      <c r="I6" s="22">
        <f t="shared" si="7"/>
        <v>11209.91562</v>
      </c>
      <c r="J6" s="22"/>
      <c r="K6" s="22">
        <f t="shared" si="3"/>
        <v>293038.6513</v>
      </c>
    </row>
    <row r="7" ht="22.5" customHeight="1">
      <c r="A7" s="20">
        <v>46.0</v>
      </c>
      <c r="B7" s="22">
        <f t="shared" si="4"/>
        <v>35229.44927</v>
      </c>
      <c r="C7" s="21" t="s">
        <v>251</v>
      </c>
      <c r="D7" s="21" t="s">
        <v>235</v>
      </c>
      <c r="E7" s="20">
        <f t="shared" si="5"/>
        <v>135490.9278</v>
      </c>
      <c r="F7" s="20">
        <f t="shared" si="1"/>
        <v>16000</v>
      </c>
      <c r="G7" s="22">
        <f t="shared" si="6"/>
        <v>217883.1313</v>
      </c>
      <c r="H7" s="20">
        <f t="shared" si="2"/>
        <v>27450</v>
      </c>
      <c r="I7" s="22">
        <f t="shared" si="7"/>
        <v>11523.79326</v>
      </c>
      <c r="J7" s="22"/>
      <c r="K7" s="22">
        <f t="shared" si="3"/>
        <v>353374.0591</v>
      </c>
    </row>
    <row r="8" ht="22.5" customHeight="1">
      <c r="A8" s="20">
        <v>47.0</v>
      </c>
      <c r="B8" s="22">
        <f t="shared" si="4"/>
        <v>36215.87384</v>
      </c>
      <c r="C8" s="21" t="s">
        <v>251</v>
      </c>
      <c r="D8" s="21" t="s">
        <v>235</v>
      </c>
      <c r="E8" s="20">
        <f t="shared" si="5"/>
        <v>160975.2928</v>
      </c>
      <c r="F8" s="20">
        <f t="shared" si="1"/>
        <v>16000</v>
      </c>
      <c r="G8" s="22">
        <f t="shared" si="6"/>
        <v>256227.2879</v>
      </c>
      <c r="H8" s="20">
        <f t="shared" si="2"/>
        <v>27450</v>
      </c>
      <c r="I8" s="22">
        <f t="shared" si="7"/>
        <v>11846.45947</v>
      </c>
      <c r="J8" s="22"/>
      <c r="K8" s="22">
        <f t="shared" si="3"/>
        <v>417202.5806</v>
      </c>
    </row>
    <row r="9" ht="22.5" customHeight="1">
      <c r="A9" s="20">
        <v>48.0</v>
      </c>
      <c r="B9" s="22">
        <f t="shared" si="4"/>
        <v>37229.91831</v>
      </c>
      <c r="C9" s="21" t="s">
        <v>251</v>
      </c>
      <c r="D9" s="21" t="s">
        <v>252</v>
      </c>
      <c r="E9" s="20">
        <f t="shared" si="5"/>
        <v>188243.5633</v>
      </c>
      <c r="F9" s="22">
        <f t="shared" ref="F9:F18" si="8">IF(D9="Building", 16000, IF(TRIM(D9)="Coasting", 0, ""))</f>
        <v>0</v>
      </c>
      <c r="G9" s="22">
        <f t="shared" si="6"/>
        <v>296488.6523</v>
      </c>
      <c r="H9" s="22">
        <f t="shared" ref="H9:H27" si="9">IF(D9="Building", 27450, IF(TRIM(D9)="Coasting", 0, ""))</f>
        <v>0</v>
      </c>
      <c r="I9" s="22">
        <f t="shared" si="7"/>
        <v>12178.16034</v>
      </c>
      <c r="J9" s="22"/>
      <c r="K9" s="22">
        <f t="shared" si="3"/>
        <v>484732.2155</v>
      </c>
    </row>
    <row r="10" ht="22.5" customHeight="1">
      <c r="A10" s="20">
        <v>49.0</v>
      </c>
      <c r="B10" s="22">
        <f t="shared" si="4"/>
        <v>38272.35603</v>
      </c>
      <c r="C10" s="21" t="s">
        <v>251</v>
      </c>
      <c r="D10" s="21" t="s">
        <v>252</v>
      </c>
      <c r="E10" s="20">
        <f t="shared" si="5"/>
        <v>201420.6127</v>
      </c>
      <c r="F10" s="22">
        <f t="shared" si="8"/>
        <v>0</v>
      </c>
      <c r="G10" s="22">
        <f t="shared" si="6"/>
        <v>311313.0849</v>
      </c>
      <c r="H10" s="22">
        <f t="shared" si="9"/>
        <v>0</v>
      </c>
      <c r="I10" s="22">
        <f t="shared" si="7"/>
        <v>12519.14882</v>
      </c>
      <c r="J10" s="22"/>
      <c r="K10" s="22">
        <f t="shared" si="3"/>
        <v>512733.6976</v>
      </c>
    </row>
    <row r="11" ht="22.5" customHeight="1">
      <c r="A11" s="20">
        <v>50.0</v>
      </c>
      <c r="B11" s="22">
        <f t="shared" si="4"/>
        <v>39343.98199</v>
      </c>
      <c r="C11" s="21" t="s">
        <v>251</v>
      </c>
      <c r="D11" s="21" t="s">
        <v>252</v>
      </c>
      <c r="E11" s="20">
        <f t="shared" si="5"/>
        <v>215520.0556</v>
      </c>
      <c r="F11" s="22">
        <f t="shared" si="8"/>
        <v>0</v>
      </c>
      <c r="G11" s="22">
        <f t="shared" si="6"/>
        <v>326878.7391</v>
      </c>
      <c r="H11" s="22">
        <f t="shared" si="9"/>
        <v>0</v>
      </c>
      <c r="I11" s="22">
        <f t="shared" si="7"/>
        <v>12869.68499</v>
      </c>
      <c r="J11" s="22"/>
      <c r="K11" s="22">
        <f t="shared" si="3"/>
        <v>542398.7947</v>
      </c>
    </row>
    <row r="12" ht="22.5" customHeight="1">
      <c r="A12" s="20">
        <v>51.0</v>
      </c>
      <c r="B12" s="22">
        <f t="shared" si="4"/>
        <v>40445.61349</v>
      </c>
      <c r="C12" s="21" t="s">
        <v>251</v>
      </c>
      <c r="D12" s="21" t="s">
        <v>252</v>
      </c>
      <c r="E12" s="20">
        <f t="shared" si="5"/>
        <v>230606.4595</v>
      </c>
      <c r="F12" s="22">
        <f t="shared" si="8"/>
        <v>0</v>
      </c>
      <c r="G12" s="22">
        <f t="shared" si="6"/>
        <v>343222.6761</v>
      </c>
      <c r="H12" s="22">
        <f t="shared" si="9"/>
        <v>0</v>
      </c>
      <c r="I12" s="22">
        <f t="shared" si="7"/>
        <v>13230.03617</v>
      </c>
      <c r="J12" s="22"/>
      <c r="K12" s="22">
        <f t="shared" si="3"/>
        <v>573829.1355</v>
      </c>
    </row>
    <row r="13" ht="22.5" customHeight="1">
      <c r="A13" s="20">
        <v>52.0</v>
      </c>
      <c r="B13" s="22">
        <f t="shared" si="4"/>
        <v>41578.09067</v>
      </c>
      <c r="C13" s="21" t="s">
        <v>251</v>
      </c>
      <c r="D13" s="21" t="s">
        <v>252</v>
      </c>
      <c r="E13" s="20">
        <f t="shared" si="5"/>
        <v>246748.9116</v>
      </c>
      <c r="F13" s="22">
        <f t="shared" si="8"/>
        <v>0</v>
      </c>
      <c r="G13" s="22">
        <f t="shared" si="6"/>
        <v>360383.8099</v>
      </c>
      <c r="H13" s="22">
        <f t="shared" si="9"/>
        <v>0</v>
      </c>
      <c r="I13" s="22">
        <f t="shared" si="7"/>
        <v>13600.47718</v>
      </c>
      <c r="J13" s="22"/>
      <c r="K13" s="22">
        <f t="shared" si="3"/>
        <v>607132.7215</v>
      </c>
    </row>
    <row r="14" ht="22.5" customHeight="1">
      <c r="A14" s="20">
        <v>53.0</v>
      </c>
      <c r="B14" s="22">
        <f t="shared" si="4"/>
        <v>42742.27721</v>
      </c>
      <c r="C14" s="21" t="s">
        <v>251</v>
      </c>
      <c r="D14" s="21" t="s">
        <v>252</v>
      </c>
      <c r="E14" s="20">
        <f t="shared" si="5"/>
        <v>264021.3354</v>
      </c>
      <c r="F14" s="22">
        <f t="shared" si="8"/>
        <v>0</v>
      </c>
      <c r="G14" s="22">
        <f t="shared" si="6"/>
        <v>378403.0004</v>
      </c>
      <c r="H14" s="22">
        <f t="shared" si="9"/>
        <v>0</v>
      </c>
      <c r="I14" s="22">
        <f t="shared" si="7"/>
        <v>13981.29055</v>
      </c>
      <c r="J14" s="22"/>
      <c r="K14" s="22">
        <f t="shared" si="3"/>
        <v>642424.3358</v>
      </c>
    </row>
    <row r="15" ht="22.5" customHeight="1">
      <c r="A15" s="20">
        <v>54.0</v>
      </c>
      <c r="B15" s="22">
        <f t="shared" si="4"/>
        <v>43939.06097</v>
      </c>
      <c r="C15" s="21" t="s">
        <v>251</v>
      </c>
      <c r="D15" s="21" t="s">
        <v>252</v>
      </c>
      <c r="E15" s="20">
        <f t="shared" si="5"/>
        <v>282502.8289</v>
      </c>
      <c r="F15" s="22">
        <f t="shared" si="8"/>
        <v>0</v>
      </c>
      <c r="G15" s="22">
        <f t="shared" si="6"/>
        <v>397323.1504</v>
      </c>
      <c r="H15" s="22">
        <f t="shared" si="9"/>
        <v>0</v>
      </c>
      <c r="I15" s="22">
        <f t="shared" si="7"/>
        <v>14372.76668</v>
      </c>
      <c r="J15" s="22"/>
      <c r="K15" s="22">
        <f t="shared" si="3"/>
        <v>679825.9793</v>
      </c>
    </row>
    <row r="16" ht="22.5" customHeight="1">
      <c r="A16" s="20">
        <v>55.0</v>
      </c>
      <c r="B16" s="22">
        <f t="shared" si="4"/>
        <v>45169.35468</v>
      </c>
      <c r="C16" s="21" t="s">
        <v>251</v>
      </c>
      <c r="D16" s="21" t="s">
        <v>252</v>
      </c>
      <c r="E16" s="20">
        <f t="shared" si="5"/>
        <v>302278.0269</v>
      </c>
      <c r="F16" s="22">
        <f t="shared" si="8"/>
        <v>0</v>
      </c>
      <c r="G16" s="22">
        <f t="shared" si="6"/>
        <v>417189.3079</v>
      </c>
      <c r="H16" s="22">
        <f t="shared" si="9"/>
        <v>0</v>
      </c>
      <c r="I16" s="22">
        <f t="shared" si="7"/>
        <v>14775.20415</v>
      </c>
      <c r="J16" s="22"/>
      <c r="K16" s="22">
        <f t="shared" si="3"/>
        <v>719467.3348</v>
      </c>
    </row>
    <row r="17" ht="22.5" customHeight="1">
      <c r="A17" s="20">
        <v>56.0</v>
      </c>
      <c r="B17" s="22">
        <f t="shared" si="4"/>
        <v>46434.09661</v>
      </c>
      <c r="C17" s="21" t="s">
        <v>251</v>
      </c>
      <c r="D17" s="21" t="s">
        <v>252</v>
      </c>
      <c r="E17" s="20">
        <f t="shared" si="5"/>
        <v>323437.4888</v>
      </c>
      <c r="F17" s="22">
        <f t="shared" si="8"/>
        <v>0</v>
      </c>
      <c r="G17" s="22">
        <f t="shared" si="6"/>
        <v>438048.7733</v>
      </c>
      <c r="H17" s="22">
        <f t="shared" si="9"/>
        <v>0</v>
      </c>
      <c r="I17" s="22">
        <f t="shared" si="7"/>
        <v>15188.90986</v>
      </c>
      <c r="J17" s="22"/>
      <c r="K17" s="22">
        <f t="shared" si="3"/>
        <v>761486.2621</v>
      </c>
    </row>
    <row r="18" ht="22.5" customHeight="1">
      <c r="A18" s="20">
        <v>57.0</v>
      </c>
      <c r="B18" s="22">
        <f t="shared" si="4"/>
        <v>47734.25131</v>
      </c>
      <c r="C18" s="21" t="s">
        <v>251</v>
      </c>
      <c r="D18" s="21" t="s">
        <v>252</v>
      </c>
      <c r="E18" s="20">
        <f t="shared" si="5"/>
        <v>346078.113</v>
      </c>
      <c r="F18" s="22">
        <f t="shared" si="8"/>
        <v>0</v>
      </c>
      <c r="G18" s="22">
        <f t="shared" si="6"/>
        <v>459951.212</v>
      </c>
      <c r="H18" s="22">
        <f t="shared" si="9"/>
        <v>0</v>
      </c>
      <c r="I18" s="22">
        <f t="shared" si="7"/>
        <v>15614.19934</v>
      </c>
      <c r="J18" s="22"/>
      <c r="K18" s="22">
        <f t="shared" si="3"/>
        <v>806029.325</v>
      </c>
    </row>
    <row r="19" ht="22.5" customHeight="1">
      <c r="A19" s="20">
        <v>58.0</v>
      </c>
      <c r="B19" s="22">
        <f t="shared" si="4"/>
        <v>49070.81035</v>
      </c>
      <c r="C19" s="21" t="s">
        <v>253</v>
      </c>
      <c r="D19" s="21" t="s">
        <v>237</v>
      </c>
      <c r="E19" s="20">
        <f t="shared" si="5"/>
        <v>370303.581</v>
      </c>
      <c r="F19" s="22">
        <f>IF(D19="Building", 16000, IF(TRIM(D19)="Coasting", 0, IF(AND(D19="FI", C19="ISA", J19=""), -B19, -J19)))</f>
        <v>-49070.81035</v>
      </c>
      <c r="G19" s="22">
        <f t="shared" si="6"/>
        <v>482948.7726</v>
      </c>
      <c r="H19" s="22" t="str">
        <f t="shared" si="9"/>
        <v/>
      </c>
      <c r="I19" s="22">
        <f t="shared" si="7"/>
        <v>16051.39692</v>
      </c>
      <c r="J19" s="22"/>
      <c r="K19" s="22">
        <f t="shared" si="3"/>
        <v>853252.3535</v>
      </c>
    </row>
    <row r="20" ht="22.5" customHeight="1">
      <c r="A20" s="20">
        <v>59.0</v>
      </c>
      <c r="B20" s="22">
        <f t="shared" si="4"/>
        <v>50444.79304</v>
      </c>
      <c r="C20" s="21" t="s">
        <v>253</v>
      </c>
      <c r="D20" s="21" t="s">
        <v>237</v>
      </c>
      <c r="E20" s="20">
        <f t="shared" si="5"/>
        <v>347154.0213</v>
      </c>
      <c r="F20" s="22">
        <f t="shared" ref="F20:F27" si="10">IF(D20="Building", 16000, IF(TRIM(D20)="Coasting", 0, -B20))</f>
        <v>-50444.79304</v>
      </c>
      <c r="G20" s="22">
        <f t="shared" si="6"/>
        <v>507096.2112</v>
      </c>
      <c r="H20" s="22" t="str">
        <f t="shared" si="9"/>
        <v/>
      </c>
      <c r="I20" s="22">
        <f t="shared" si="7"/>
        <v>16500.83604</v>
      </c>
      <c r="J20" s="22"/>
      <c r="K20" s="22">
        <f t="shared" si="3"/>
        <v>854250.2325</v>
      </c>
    </row>
    <row r="21" ht="22.5" customHeight="1">
      <c r="A21" s="20">
        <v>60.0</v>
      </c>
      <c r="B21" s="22">
        <f t="shared" si="4"/>
        <v>51857.24724</v>
      </c>
      <c r="C21" s="21" t="s">
        <v>253</v>
      </c>
      <c r="D21" s="21" t="s">
        <v>237</v>
      </c>
      <c r="E21" s="20">
        <f t="shared" si="5"/>
        <v>321010.0097</v>
      </c>
      <c r="F21" s="22">
        <f t="shared" si="10"/>
        <v>-51857.24724</v>
      </c>
      <c r="G21" s="22">
        <f t="shared" si="6"/>
        <v>532451.0218</v>
      </c>
      <c r="H21" s="22" t="str">
        <f t="shared" si="9"/>
        <v/>
      </c>
      <c r="I21" s="22">
        <f t="shared" si="7"/>
        <v>16962.85944</v>
      </c>
      <c r="J21" s="22"/>
      <c r="K21" s="22">
        <f t="shared" si="3"/>
        <v>853461.0315</v>
      </c>
    </row>
    <row r="22" ht="22.5" customHeight="1">
      <c r="A22" s="20">
        <v>61.0</v>
      </c>
      <c r="B22" s="22">
        <f t="shared" si="4"/>
        <v>53309.25017</v>
      </c>
      <c r="C22" s="21" t="s">
        <v>253</v>
      </c>
      <c r="D22" s="21" t="s">
        <v>237</v>
      </c>
      <c r="E22" s="20">
        <f t="shared" si="5"/>
        <v>291623.4632</v>
      </c>
      <c r="F22" s="22">
        <f t="shared" si="10"/>
        <v>-53309.25017</v>
      </c>
      <c r="G22" s="22">
        <f t="shared" si="6"/>
        <v>559073.5728</v>
      </c>
      <c r="H22" s="22" t="str">
        <f t="shared" si="9"/>
        <v/>
      </c>
      <c r="I22" s="22">
        <f t="shared" si="7"/>
        <v>17437.81951</v>
      </c>
      <c r="J22" s="22"/>
      <c r="K22" s="22">
        <f t="shared" si="3"/>
        <v>850697.036</v>
      </c>
    </row>
    <row r="23" ht="22.5" customHeight="1">
      <c r="A23" s="20">
        <v>62.0</v>
      </c>
      <c r="B23" s="22">
        <f t="shared" si="4"/>
        <v>54801.90917</v>
      </c>
      <c r="C23" s="21" t="s">
        <v>253</v>
      </c>
      <c r="D23" s="21" t="s">
        <v>237</v>
      </c>
      <c r="E23" s="20">
        <f t="shared" si="5"/>
        <v>258727.8554</v>
      </c>
      <c r="F23" s="22">
        <f t="shared" si="10"/>
        <v>-54801.90917</v>
      </c>
      <c r="G23" s="22">
        <f t="shared" si="6"/>
        <v>587027.2515</v>
      </c>
      <c r="H23" s="22" t="str">
        <f t="shared" si="9"/>
        <v/>
      </c>
      <c r="I23" s="22">
        <f t="shared" si="7"/>
        <v>17926.07846</v>
      </c>
      <c r="J23" s="22"/>
      <c r="K23" s="22">
        <f t="shared" si="3"/>
        <v>845755.1069</v>
      </c>
    </row>
    <row r="24" ht="22.5" customHeight="1">
      <c r="A24" s="20">
        <v>63.0</v>
      </c>
      <c r="B24" s="22">
        <f t="shared" si="4"/>
        <v>56336.36263</v>
      </c>
      <c r="C24" s="21" t="s">
        <v>253</v>
      </c>
      <c r="D24" s="21" t="s">
        <v>237</v>
      </c>
      <c r="E24" s="20">
        <f t="shared" si="5"/>
        <v>222036.8961</v>
      </c>
      <c r="F24" s="22">
        <f t="shared" si="10"/>
        <v>-56336.36263</v>
      </c>
      <c r="G24" s="22">
        <f t="shared" si="6"/>
        <v>616378.6141</v>
      </c>
      <c r="H24" s="22" t="str">
        <f t="shared" si="9"/>
        <v/>
      </c>
      <c r="I24" s="22">
        <f t="shared" si="7"/>
        <v>18428.00865</v>
      </c>
      <c r="J24" s="22"/>
      <c r="K24" s="22">
        <f t="shared" si="3"/>
        <v>838415.5102</v>
      </c>
    </row>
    <row r="25" ht="22.5" customHeight="1">
      <c r="A25" s="20">
        <v>64.0</v>
      </c>
      <c r="B25" s="22">
        <f t="shared" si="4"/>
        <v>57913.78078</v>
      </c>
      <c r="C25" s="21" t="s">
        <v>253</v>
      </c>
      <c r="D25" s="21" t="s">
        <v>237</v>
      </c>
      <c r="E25" s="20">
        <f t="shared" si="5"/>
        <v>181243.1162</v>
      </c>
      <c r="F25" s="22">
        <f t="shared" si="10"/>
        <v>-57913.78078</v>
      </c>
      <c r="G25" s="22">
        <f t="shared" si="6"/>
        <v>647197.5448</v>
      </c>
      <c r="H25" s="22" t="str">
        <f t="shared" si="9"/>
        <v/>
      </c>
      <c r="I25" s="22">
        <f t="shared" si="7"/>
        <v>18943.99289</v>
      </c>
      <c r="J25" s="22"/>
      <c r="K25" s="22">
        <f t="shared" si="3"/>
        <v>828440.661</v>
      </c>
    </row>
    <row r="26" ht="22.5" customHeight="1">
      <c r="A26" s="20">
        <v>65.0</v>
      </c>
      <c r="B26" s="22">
        <f t="shared" si="4"/>
        <v>59535.36664</v>
      </c>
      <c r="C26" s="21" t="s">
        <v>253</v>
      </c>
      <c r="D26" s="21" t="s">
        <v>237</v>
      </c>
      <c r="E26" s="20">
        <f t="shared" si="5"/>
        <v>136016.3536</v>
      </c>
      <c r="F26" s="22">
        <f t="shared" si="10"/>
        <v>-59535.36664</v>
      </c>
      <c r="G26" s="22">
        <f t="shared" si="6"/>
        <v>679557.422</v>
      </c>
      <c r="H26" s="22" t="str">
        <f t="shared" si="9"/>
        <v/>
      </c>
      <c r="I26" s="22">
        <f t="shared" si="7"/>
        <v>19474.4247</v>
      </c>
      <c r="J26" s="22"/>
      <c r="K26" s="22">
        <f t="shared" si="3"/>
        <v>815573.7756</v>
      </c>
    </row>
    <row r="27" ht="22.5" customHeight="1">
      <c r="A27" s="20">
        <v>66.0</v>
      </c>
      <c r="B27" s="22">
        <f t="shared" si="4"/>
        <v>61202.35691</v>
      </c>
      <c r="C27" s="21" t="s">
        <v>254</v>
      </c>
      <c r="D27" s="21" t="s">
        <v>237</v>
      </c>
      <c r="E27" s="20">
        <f t="shared" si="5"/>
        <v>86002.13169</v>
      </c>
      <c r="F27" s="22">
        <f t="shared" si="10"/>
        <v>-61202.35691</v>
      </c>
      <c r="G27" s="22">
        <f t="shared" si="6"/>
        <v>713535.2931</v>
      </c>
      <c r="H27" s="22" t="str">
        <f t="shared" si="9"/>
        <v/>
      </c>
      <c r="I27" s="22">
        <f t="shared" si="7"/>
        <v>20019.70859</v>
      </c>
      <c r="J27" s="22"/>
      <c r="K27" s="22">
        <f t="shared" si="3"/>
        <v>799537.4248</v>
      </c>
    </row>
    <row r="28" ht="22.5" customHeight="1">
      <c r="A28" s="20">
        <v>67.0</v>
      </c>
      <c r="B28" s="22">
        <f t="shared" si="4"/>
        <v>62916.0229</v>
      </c>
      <c r="C28" s="21" t="s">
        <v>254</v>
      </c>
      <c r="D28" s="21" t="s">
        <v>237</v>
      </c>
      <c r="E28" s="20">
        <f t="shared" si="5"/>
        <v>30819.924</v>
      </c>
      <c r="F28" s="22" t="str">
        <f t="shared" ref="F28:F45" si="11">IF(D28="Building", 16000, IF(TRIM(D28)="Coasting", 0, ""))</f>
        <v/>
      </c>
      <c r="G28" s="22">
        <f t="shared" si="6"/>
        <v>749212.0578</v>
      </c>
      <c r="H28" s="22">
        <f>IF(D28="Building", 27450, IF(TRIM(D28)="Coasting", 0, -B28/0.85))</f>
        <v>-74018.85047</v>
      </c>
      <c r="I28" s="22">
        <f t="shared" si="7"/>
        <v>20580.26043</v>
      </c>
      <c r="J28" s="22"/>
      <c r="K28" s="22">
        <f t="shared" si="3"/>
        <v>780031.9818</v>
      </c>
    </row>
    <row r="29" ht="22.5" customHeight="1">
      <c r="A29" s="20">
        <v>68.0</v>
      </c>
      <c r="B29" s="22">
        <f t="shared" si="4"/>
        <v>64677.67154</v>
      </c>
      <c r="C29" s="21" t="s">
        <v>255</v>
      </c>
      <c r="D29" s="21" t="s">
        <v>237</v>
      </c>
      <c r="E29" s="20">
        <f t="shared" si="5"/>
        <v>32977.31868</v>
      </c>
      <c r="F29" s="20" t="str">
        <f t="shared" si="11"/>
        <v/>
      </c>
      <c r="G29" s="22">
        <f t="shared" si="6"/>
        <v>712653.8102</v>
      </c>
      <c r="H29" s="22">
        <f t="shared" ref="H29:H45" si="12">IF(D29="Building", 27450, IF(TRIM(D29)="Coasting", 0, -J29/0.85))</f>
        <v>-51201.3692</v>
      </c>
      <c r="I29" s="22">
        <f t="shared" si="7"/>
        <v>21156.50772</v>
      </c>
      <c r="J29" s="22">
        <f t="shared" ref="J29:J51" si="13">B29-I29</f>
        <v>43521.16382</v>
      </c>
      <c r="K29" s="22">
        <f t="shared" si="3"/>
        <v>745631.1289</v>
      </c>
    </row>
    <row r="30" ht="22.5" customHeight="1">
      <c r="A30" s="20">
        <v>69.0</v>
      </c>
      <c r="B30" s="22">
        <f t="shared" si="4"/>
        <v>66488.64635</v>
      </c>
      <c r="C30" s="21" t="s">
        <v>255</v>
      </c>
      <c r="D30" s="21" t="s">
        <v>237</v>
      </c>
      <c r="E30" s="20">
        <f t="shared" si="5"/>
        <v>35285.73099</v>
      </c>
      <c r="F30" s="20" t="str">
        <f t="shared" si="11"/>
        <v/>
      </c>
      <c r="G30" s="22">
        <f t="shared" si="6"/>
        <v>697085.1315</v>
      </c>
      <c r="H30" s="22">
        <f t="shared" si="12"/>
        <v>-52635.00754</v>
      </c>
      <c r="I30" s="22">
        <f t="shared" si="7"/>
        <v>21748.88994</v>
      </c>
      <c r="J30" s="22">
        <f t="shared" si="13"/>
        <v>44739.75641</v>
      </c>
      <c r="K30" s="22">
        <f t="shared" si="3"/>
        <v>732370.8625</v>
      </c>
    </row>
    <row r="31" ht="22.5" customHeight="1">
      <c r="A31" s="20">
        <v>70.0</v>
      </c>
      <c r="B31" s="22">
        <f t="shared" si="4"/>
        <v>68350.32844</v>
      </c>
      <c r="C31" s="21" t="s">
        <v>255</v>
      </c>
      <c r="D31" s="21" t="s">
        <v>237</v>
      </c>
      <c r="E31" s="20">
        <f t="shared" si="5"/>
        <v>37755.73216</v>
      </c>
      <c r="F31" s="22" t="str">
        <f t="shared" si="11"/>
        <v/>
      </c>
      <c r="G31" s="22">
        <f t="shared" si="6"/>
        <v>679304.3805</v>
      </c>
      <c r="H31" s="22">
        <f t="shared" si="12"/>
        <v>-54108.78775</v>
      </c>
      <c r="I31" s="22">
        <f t="shared" si="7"/>
        <v>22357.85885</v>
      </c>
      <c r="J31" s="22">
        <f t="shared" si="13"/>
        <v>45992.46959</v>
      </c>
      <c r="K31" s="22">
        <f t="shared" si="3"/>
        <v>717060.1127</v>
      </c>
    </row>
    <row r="32" ht="22.5" customHeight="1">
      <c r="A32" s="20">
        <v>71.0</v>
      </c>
      <c r="B32" s="22">
        <f t="shared" si="4"/>
        <v>70264.13764</v>
      </c>
      <c r="C32" s="21" t="s">
        <v>255</v>
      </c>
      <c r="D32" s="21" t="s">
        <v>237</v>
      </c>
      <c r="E32" s="20">
        <f t="shared" si="5"/>
        <v>40398.63341</v>
      </c>
      <c r="F32" s="22" t="str">
        <f t="shared" si="11"/>
        <v/>
      </c>
      <c r="G32" s="22">
        <f t="shared" si="6"/>
        <v>659160.8118</v>
      </c>
      <c r="H32" s="22">
        <f t="shared" si="12"/>
        <v>-55623.83381</v>
      </c>
      <c r="I32" s="22">
        <f t="shared" si="7"/>
        <v>22983.8789</v>
      </c>
      <c r="J32" s="22">
        <f t="shared" si="13"/>
        <v>47280.25874</v>
      </c>
      <c r="K32" s="22">
        <f t="shared" si="3"/>
        <v>699559.4452</v>
      </c>
    </row>
    <row r="33" ht="22.5" customHeight="1">
      <c r="A33" s="20">
        <v>72.0</v>
      </c>
      <c r="B33" s="22">
        <f t="shared" si="4"/>
        <v>72231.53349</v>
      </c>
      <c r="C33" s="21" t="s">
        <v>255</v>
      </c>
      <c r="D33" s="21" t="s">
        <v>237</v>
      </c>
      <c r="E33" s="20">
        <f t="shared" si="5"/>
        <v>43226.53775</v>
      </c>
      <c r="F33" s="22" t="str">
        <f t="shared" si="11"/>
        <v/>
      </c>
      <c r="G33" s="22">
        <f t="shared" si="6"/>
        <v>636495.0186</v>
      </c>
      <c r="H33" s="22">
        <f t="shared" si="12"/>
        <v>-57181.30116</v>
      </c>
      <c r="I33" s="22">
        <f t="shared" si="7"/>
        <v>23627.42751</v>
      </c>
      <c r="J33" s="22">
        <f t="shared" si="13"/>
        <v>48604.10598</v>
      </c>
      <c r="K33" s="22">
        <f t="shared" si="3"/>
        <v>679721.5563</v>
      </c>
    </row>
    <row r="34" ht="22.5" customHeight="1">
      <c r="A34" s="20">
        <v>73.0</v>
      </c>
      <c r="B34" s="22">
        <f t="shared" si="4"/>
        <v>74254.01643</v>
      </c>
      <c r="C34" s="21" t="s">
        <v>255</v>
      </c>
      <c r="D34" s="21" t="s">
        <v>237</v>
      </c>
      <c r="E34" s="20">
        <f t="shared" si="5"/>
        <v>46252.39539</v>
      </c>
      <c r="F34" s="22" t="str">
        <f t="shared" si="11"/>
        <v/>
      </c>
      <c r="G34" s="22">
        <f t="shared" si="6"/>
        <v>611138.4683</v>
      </c>
      <c r="H34" s="22">
        <f t="shared" si="12"/>
        <v>-58782.37759</v>
      </c>
      <c r="I34" s="22">
        <f t="shared" si="7"/>
        <v>24288.99548</v>
      </c>
      <c r="J34" s="22">
        <f t="shared" si="13"/>
        <v>49965.02095</v>
      </c>
      <c r="K34" s="22">
        <f t="shared" si="3"/>
        <v>657390.8637</v>
      </c>
    </row>
    <row r="35" ht="22.5" customHeight="1">
      <c r="A35" s="20">
        <v>74.0</v>
      </c>
      <c r="B35" s="22">
        <f t="shared" si="4"/>
        <v>76333.12889</v>
      </c>
      <c r="C35" s="21" t="s">
        <v>255</v>
      </c>
      <c r="D35" s="21" t="s">
        <v>237</v>
      </c>
      <c r="E35" s="20">
        <f t="shared" si="5"/>
        <v>49490.06307</v>
      </c>
      <c r="F35" s="22" t="str">
        <f t="shared" si="11"/>
        <v/>
      </c>
      <c r="G35" s="22">
        <f t="shared" si="6"/>
        <v>582913.0142</v>
      </c>
      <c r="H35" s="22">
        <f t="shared" si="12"/>
        <v>-60428.28416</v>
      </c>
      <c r="I35" s="22">
        <f t="shared" si="7"/>
        <v>24969.08735</v>
      </c>
      <c r="J35" s="22">
        <f t="shared" si="13"/>
        <v>51364.04154</v>
      </c>
      <c r="K35" s="22">
        <f t="shared" si="3"/>
        <v>632403.0772</v>
      </c>
    </row>
    <row r="36" ht="22.5" customHeight="1">
      <c r="A36" s="20">
        <v>75.0</v>
      </c>
      <c r="B36" s="22">
        <f t="shared" si="4"/>
        <v>78470.4565</v>
      </c>
      <c r="C36" s="21" t="s">
        <v>255</v>
      </c>
      <c r="D36" s="21" t="s">
        <v>237</v>
      </c>
      <c r="E36" s="20">
        <f t="shared" si="5"/>
        <v>52954.36748</v>
      </c>
      <c r="F36" s="22" t="str">
        <f t="shared" si="11"/>
        <v/>
      </c>
      <c r="G36" s="22">
        <f t="shared" si="6"/>
        <v>551630.3807</v>
      </c>
      <c r="H36" s="22">
        <f t="shared" si="12"/>
        <v>-62120.27612</v>
      </c>
      <c r="I36" s="22">
        <f t="shared" si="7"/>
        <v>25668.2218</v>
      </c>
      <c r="J36" s="22">
        <f t="shared" si="13"/>
        <v>52802.2347</v>
      </c>
      <c r="K36" s="22">
        <f t="shared" si="3"/>
        <v>604584.7482</v>
      </c>
    </row>
    <row r="37" ht="22.5" customHeight="1">
      <c r="A37" s="20">
        <v>76.0</v>
      </c>
      <c r="B37" s="22">
        <f t="shared" si="4"/>
        <v>80667.62928</v>
      </c>
      <c r="C37" s="21" t="s">
        <v>255</v>
      </c>
      <c r="D37" s="21" t="s">
        <v>237</v>
      </c>
      <c r="E37" s="20">
        <f t="shared" si="5"/>
        <v>56661.17321</v>
      </c>
      <c r="F37" s="22" t="str">
        <f t="shared" si="11"/>
        <v/>
      </c>
      <c r="G37" s="22">
        <f t="shared" si="6"/>
        <v>517091.6236</v>
      </c>
      <c r="H37" s="22">
        <f t="shared" si="12"/>
        <v>-63859.64385</v>
      </c>
      <c r="I37" s="22">
        <f t="shared" si="7"/>
        <v>26386.93201</v>
      </c>
      <c r="J37" s="22">
        <f t="shared" si="13"/>
        <v>54280.69727</v>
      </c>
      <c r="K37" s="22">
        <f t="shared" si="3"/>
        <v>573752.7968</v>
      </c>
    </row>
    <row r="38" ht="22.5" customHeight="1">
      <c r="A38" s="20">
        <v>77.0</v>
      </c>
      <c r="B38" s="22">
        <f t="shared" si="4"/>
        <v>82926.3229</v>
      </c>
      <c r="C38" s="21" t="s">
        <v>255</v>
      </c>
      <c r="D38" s="21" t="s">
        <v>237</v>
      </c>
      <c r="E38" s="20">
        <f t="shared" si="5"/>
        <v>60627.45533</v>
      </c>
      <c r="F38" s="22" t="str">
        <f t="shared" si="11"/>
        <v/>
      </c>
      <c r="G38" s="22">
        <f t="shared" si="6"/>
        <v>479086.561</v>
      </c>
      <c r="H38" s="22">
        <f t="shared" si="12"/>
        <v>-65647.71388</v>
      </c>
      <c r="I38" s="22">
        <f t="shared" si="7"/>
        <v>27125.76611</v>
      </c>
      <c r="J38" s="22">
        <f t="shared" si="13"/>
        <v>55800.5568</v>
      </c>
      <c r="K38" s="22">
        <f t="shared" si="3"/>
        <v>539714.0163</v>
      </c>
    </row>
    <row r="39" ht="22.5" customHeight="1">
      <c r="A39" s="20">
        <v>78.0</v>
      </c>
      <c r="B39" s="22">
        <f t="shared" si="4"/>
        <v>85248.25994</v>
      </c>
      <c r="C39" s="21" t="s">
        <v>255</v>
      </c>
      <c r="D39" s="21" t="s">
        <v>237</v>
      </c>
      <c r="E39" s="20">
        <f t="shared" si="5"/>
        <v>64871.3772</v>
      </c>
      <c r="F39" s="22" t="str">
        <f t="shared" si="11"/>
        <v/>
      </c>
      <c r="G39" s="22">
        <f t="shared" si="6"/>
        <v>437393.1751</v>
      </c>
      <c r="H39" s="22">
        <f t="shared" si="12"/>
        <v>-67485.84987</v>
      </c>
      <c r="I39" s="22">
        <f t="shared" si="7"/>
        <v>27885.28756</v>
      </c>
      <c r="J39" s="22">
        <f t="shared" si="13"/>
        <v>57362.97239</v>
      </c>
      <c r="K39" s="22">
        <f t="shared" si="3"/>
        <v>502264.5523</v>
      </c>
    </row>
    <row r="40" ht="22.5" customHeight="1">
      <c r="A40" s="20">
        <v>79.0</v>
      </c>
      <c r="B40" s="22">
        <f t="shared" si="4"/>
        <v>87635.21122</v>
      </c>
      <c r="C40" s="21" t="s">
        <v>255</v>
      </c>
      <c r="D40" s="21" t="s">
        <v>237</v>
      </c>
      <c r="E40" s="20">
        <f t="shared" si="5"/>
        <v>69412.37361</v>
      </c>
      <c r="F40" s="22" t="str">
        <f t="shared" si="11"/>
        <v/>
      </c>
      <c r="G40" s="22">
        <f t="shared" si="6"/>
        <v>391776.984</v>
      </c>
      <c r="H40" s="22">
        <f t="shared" si="12"/>
        <v>-69375.45366</v>
      </c>
      <c r="I40" s="22">
        <f t="shared" si="7"/>
        <v>28666.07561</v>
      </c>
      <c r="J40" s="22">
        <f t="shared" si="13"/>
        <v>58969.13561</v>
      </c>
      <c r="K40" s="22">
        <f t="shared" si="3"/>
        <v>461189.3576</v>
      </c>
    </row>
    <row r="41" ht="22.5" customHeight="1">
      <c r="A41" s="20">
        <v>80.0</v>
      </c>
      <c r="B41" s="22">
        <f t="shared" si="4"/>
        <v>90088.99714</v>
      </c>
      <c r="C41" s="21" t="s">
        <v>255</v>
      </c>
      <c r="D41" s="21" t="s">
        <v>237</v>
      </c>
      <c r="E41" s="20">
        <f t="shared" si="5"/>
        <v>74271.23976</v>
      </c>
      <c r="F41" s="22" t="str">
        <f t="shared" si="11"/>
        <v/>
      </c>
      <c r="G41" s="22">
        <f t="shared" si="6"/>
        <v>341990.3796</v>
      </c>
      <c r="H41" s="22">
        <f t="shared" si="12"/>
        <v>-71317.96636</v>
      </c>
      <c r="I41" s="22">
        <f t="shared" si="7"/>
        <v>29468.72573</v>
      </c>
      <c r="J41" s="22">
        <f t="shared" si="13"/>
        <v>60620.27141</v>
      </c>
      <c r="K41" s="22">
        <f t="shared" si="3"/>
        <v>416261.6193</v>
      </c>
    </row>
    <row r="42" ht="22.5" customHeight="1">
      <c r="A42" s="20">
        <v>81.0</v>
      </c>
      <c r="B42" s="22">
        <f t="shared" si="4"/>
        <v>92611.48906</v>
      </c>
      <c r="C42" s="21" t="s">
        <v>255</v>
      </c>
      <c r="D42" s="21" t="s">
        <v>237</v>
      </c>
      <c r="E42" s="20">
        <f t="shared" si="5"/>
        <v>79470.22654</v>
      </c>
      <c r="F42" s="22" t="str">
        <f t="shared" si="11"/>
        <v/>
      </c>
      <c r="G42" s="22">
        <f t="shared" si="6"/>
        <v>287771.9322</v>
      </c>
      <c r="H42" s="22">
        <f t="shared" si="12"/>
        <v>-73314.86942</v>
      </c>
      <c r="I42" s="22">
        <f t="shared" si="7"/>
        <v>30293.85005</v>
      </c>
      <c r="J42" s="22">
        <f t="shared" si="13"/>
        <v>62317.63901</v>
      </c>
      <c r="K42" s="22">
        <f t="shared" si="3"/>
        <v>367242.1587</v>
      </c>
    </row>
    <row r="43" ht="22.5" customHeight="1">
      <c r="A43" s="20">
        <v>82.0</v>
      </c>
      <c r="B43" s="22">
        <f t="shared" si="4"/>
        <v>95204.61075</v>
      </c>
      <c r="C43" s="21" t="s">
        <v>255</v>
      </c>
      <c r="D43" s="21" t="s">
        <v>237</v>
      </c>
      <c r="E43" s="20">
        <f t="shared" si="5"/>
        <v>85033.1424</v>
      </c>
      <c r="F43" s="22" t="str">
        <f t="shared" si="11"/>
        <v/>
      </c>
      <c r="G43" s="22">
        <f t="shared" si="6"/>
        <v>228845.6594</v>
      </c>
      <c r="H43" s="22">
        <f t="shared" si="12"/>
        <v>-75367.68577</v>
      </c>
      <c r="I43" s="22">
        <f t="shared" si="7"/>
        <v>31142.07785</v>
      </c>
      <c r="J43" s="22">
        <f t="shared" si="13"/>
        <v>64062.5329</v>
      </c>
      <c r="K43" s="22">
        <f t="shared" si="3"/>
        <v>313878.8018</v>
      </c>
    </row>
    <row r="44" ht="22.5" customHeight="1">
      <c r="A44" s="20">
        <v>83.0</v>
      </c>
      <c r="B44" s="22">
        <f t="shared" si="4"/>
        <v>97870.33985</v>
      </c>
      <c r="C44" s="21" t="s">
        <v>255</v>
      </c>
      <c r="D44" s="21" t="s">
        <v>237</v>
      </c>
      <c r="E44" s="20">
        <f t="shared" si="5"/>
        <v>90985.46237</v>
      </c>
      <c r="F44" s="22" t="str">
        <f t="shared" si="11"/>
        <v/>
      </c>
      <c r="G44" s="22">
        <f t="shared" si="6"/>
        <v>164920.2566</v>
      </c>
      <c r="H44" s="22">
        <f t="shared" si="12"/>
        <v>-77477.98097</v>
      </c>
      <c r="I44" s="22">
        <f t="shared" si="7"/>
        <v>32014.05603</v>
      </c>
      <c r="J44" s="22">
        <f t="shared" si="13"/>
        <v>65856.28382</v>
      </c>
      <c r="K44" s="22">
        <f t="shared" si="3"/>
        <v>255905.7189</v>
      </c>
    </row>
    <row r="45" ht="22.5" customHeight="1">
      <c r="A45" s="20">
        <v>84.0</v>
      </c>
      <c r="B45" s="22">
        <f t="shared" si="4"/>
        <v>100610.7094</v>
      </c>
      <c r="C45" s="21" t="s">
        <v>255</v>
      </c>
      <c r="D45" s="21" t="s">
        <v>237</v>
      </c>
      <c r="E45" s="20">
        <f t="shared" si="5"/>
        <v>97354.44473</v>
      </c>
      <c r="F45" s="22" t="str">
        <f t="shared" si="11"/>
        <v/>
      </c>
      <c r="G45" s="22">
        <f t="shared" si="6"/>
        <v>95688.28843</v>
      </c>
      <c r="H45" s="22">
        <f t="shared" si="12"/>
        <v>-79647.36444</v>
      </c>
      <c r="I45" s="22">
        <f t="shared" si="7"/>
        <v>32910.4496</v>
      </c>
      <c r="J45" s="22">
        <f t="shared" si="13"/>
        <v>67700.25977</v>
      </c>
      <c r="K45" s="22">
        <f t="shared" si="3"/>
        <v>193042.7332</v>
      </c>
    </row>
    <row r="46" ht="22.5" customHeight="1">
      <c r="A46" s="20">
        <v>85.0</v>
      </c>
      <c r="B46" s="22">
        <f t="shared" si="4"/>
        <v>103427.8092</v>
      </c>
      <c r="C46" s="21" t="s">
        <v>256</v>
      </c>
      <c r="D46" s="21" t="s">
        <v>237</v>
      </c>
      <c r="E46" s="20">
        <f t="shared" si="5"/>
        <v>104169.2559</v>
      </c>
      <c r="F46" s="22">
        <f>IF(D46="Building", 16000, IF(TRIM(D46)="Coasting", 0, -J46+(H46*0.85)))</f>
        <v>-86595.86704</v>
      </c>
      <c r="G46" s="22">
        <f t="shared" si="6"/>
        <v>20825.33841</v>
      </c>
      <c r="H46" s="22">
        <f>IF(D46="Building", 27450, IF(TRIM(D46)="Coasting", 0, -20000))</f>
        <v>-20000</v>
      </c>
      <c r="I46" s="22">
        <f t="shared" si="7"/>
        <v>33831.94219</v>
      </c>
      <c r="J46" s="22">
        <f t="shared" si="13"/>
        <v>69595.86704</v>
      </c>
      <c r="K46" s="22">
        <f t="shared" si="3"/>
        <v>124994.5943</v>
      </c>
    </row>
    <row r="47" ht="22.5" customHeight="1">
      <c r="A47" s="20">
        <v>86.0</v>
      </c>
      <c r="B47" s="22">
        <f t="shared" si="4"/>
        <v>106323.7879</v>
      </c>
      <c r="C47" s="21" t="s">
        <v>255</v>
      </c>
      <c r="D47" s="21" t="s">
        <v>257</v>
      </c>
      <c r="E47" s="20">
        <f t="shared" si="5"/>
        <v>24865.23673</v>
      </c>
      <c r="F47" s="22" t="str">
        <f t="shared" ref="F47:F51" si="14">IF(D47="Building", 16000, IF(TRIM(D47)="Coasting", 0, ""))</f>
        <v/>
      </c>
      <c r="G47" s="22">
        <f t="shared" si="6"/>
        <v>1866.605335</v>
      </c>
      <c r="H47" s="22" t="str">
        <f t="shared" ref="H47:H51" si="15">IF(D47="Building", 27450, IF(TRIM(D47)="Coasting", 0, ""))</f>
        <v/>
      </c>
      <c r="I47" s="22">
        <f t="shared" si="7"/>
        <v>34779.23657</v>
      </c>
      <c r="J47" s="22">
        <f t="shared" si="13"/>
        <v>71544.55132</v>
      </c>
      <c r="K47" s="22">
        <f t="shared" si="3"/>
        <v>26731.84207</v>
      </c>
    </row>
    <row r="48" ht="22.5" customHeight="1">
      <c r="A48" s="20">
        <v>87.0</v>
      </c>
      <c r="B48" s="22">
        <f t="shared" si="4"/>
        <v>109300.8539</v>
      </c>
      <c r="C48" s="21" t="s">
        <v>255</v>
      </c>
      <c r="D48" s="21" t="s">
        <v>257</v>
      </c>
      <c r="E48" s="20">
        <f t="shared" si="5"/>
        <v>26605.8033</v>
      </c>
      <c r="F48" s="22" t="str">
        <f t="shared" si="14"/>
        <v/>
      </c>
      <c r="G48" s="22">
        <f t="shared" si="6"/>
        <v>1959.935602</v>
      </c>
      <c r="H48" s="22" t="str">
        <f t="shared" si="15"/>
        <v/>
      </c>
      <c r="I48" s="22">
        <f t="shared" si="7"/>
        <v>35753.05519</v>
      </c>
      <c r="J48" s="22">
        <f t="shared" si="13"/>
        <v>73547.79876</v>
      </c>
      <c r="K48" s="22">
        <f t="shared" si="3"/>
        <v>28565.73891</v>
      </c>
    </row>
    <row r="49" ht="22.5" customHeight="1">
      <c r="A49" s="20">
        <v>88.0</v>
      </c>
      <c r="B49" s="22">
        <f t="shared" si="4"/>
        <v>112361.2779</v>
      </c>
      <c r="C49" s="21" t="s">
        <v>258</v>
      </c>
      <c r="D49" s="21" t="s">
        <v>257</v>
      </c>
      <c r="E49" s="20">
        <f t="shared" si="5"/>
        <v>28468.20954</v>
      </c>
      <c r="F49" s="22" t="str">
        <f t="shared" si="14"/>
        <v/>
      </c>
      <c r="G49" s="22">
        <f t="shared" si="6"/>
        <v>2057.932382</v>
      </c>
      <c r="H49" s="22" t="str">
        <f t="shared" si="15"/>
        <v/>
      </c>
      <c r="I49" s="22">
        <f t="shared" si="7"/>
        <v>36754.14074</v>
      </c>
      <c r="J49" s="22">
        <f t="shared" si="13"/>
        <v>75607.13712</v>
      </c>
      <c r="K49" s="22">
        <f t="shared" si="3"/>
        <v>30526.14192</v>
      </c>
    </row>
    <row r="50" ht="22.5" customHeight="1">
      <c r="A50" s="20">
        <v>89.0</v>
      </c>
      <c r="B50" s="22">
        <f t="shared" si="4"/>
        <v>115507.3936</v>
      </c>
      <c r="C50" s="21" t="s">
        <v>259</v>
      </c>
      <c r="D50" s="21" t="s">
        <v>257</v>
      </c>
      <c r="E50" s="20">
        <f t="shared" si="5"/>
        <v>30460.9842</v>
      </c>
      <c r="F50" s="22" t="str">
        <f t="shared" si="14"/>
        <v/>
      </c>
      <c r="G50" s="22">
        <f t="shared" si="6"/>
        <v>2160.829001</v>
      </c>
      <c r="H50" s="22" t="str">
        <f t="shared" si="15"/>
        <v/>
      </c>
      <c r="I50" s="22">
        <f t="shared" si="7"/>
        <v>37783.25668</v>
      </c>
      <c r="J50" s="22">
        <f t="shared" si="13"/>
        <v>77724.13696</v>
      </c>
      <c r="K50" s="22">
        <f t="shared" si="3"/>
        <v>32621.8132</v>
      </c>
    </row>
    <row r="51" ht="22.5" customHeight="1">
      <c r="A51" s="20">
        <v>90.0</v>
      </c>
      <c r="B51" s="22">
        <f t="shared" si="4"/>
        <v>118741.6007</v>
      </c>
      <c r="C51" s="21" t="s">
        <v>255</v>
      </c>
      <c r="D51" s="21" t="s">
        <v>257</v>
      </c>
      <c r="E51" s="20">
        <f t="shared" si="5"/>
        <v>32593.2531</v>
      </c>
      <c r="F51" s="22" t="str">
        <f t="shared" si="14"/>
        <v/>
      </c>
      <c r="G51" s="22">
        <f t="shared" si="6"/>
        <v>2268.870451</v>
      </c>
      <c r="H51" s="22" t="str">
        <f t="shared" si="15"/>
        <v/>
      </c>
      <c r="I51" s="22">
        <f t="shared" si="7"/>
        <v>38841.18786</v>
      </c>
      <c r="J51" s="22">
        <f t="shared" si="13"/>
        <v>79900.4128</v>
      </c>
      <c r="K51" s="22">
        <f t="shared" si="3"/>
        <v>34862.12355</v>
      </c>
    </row>
  </sheetData>
  <conditionalFormatting sqref="C1:C1001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001">
    <cfRule type="containsText" dxfId="9" priority="2" operator="containsText" text="Building">
      <formula>NOT(ISERROR(SEARCH(("Building"),(D1))))</formula>
    </cfRule>
  </conditionalFormatting>
  <conditionalFormatting sqref="D1:D1001">
    <cfRule type="containsText" dxfId="10" priority="3" operator="containsText" text="Coasting">
      <formula>NOT(ISERROR(SEARCH(("Coasting"),(D1))))</formula>
    </cfRule>
  </conditionalFormatting>
  <conditionalFormatting sqref="D1:D1001">
    <cfRule type="containsText" dxfId="11" priority="4" operator="containsText" text="FI">
      <formula>NOT(ISERROR(SEARCH(("FI"),(D1))))</formula>
    </cfRule>
  </conditionalFormatting>
  <dataValidations>
    <dataValidation type="list" allowBlank="1" showErrorMessage="1" sqref="D2:D51">
      <formula1>"Building,Coasting ,FI,live off basic income"</formula1>
    </dataValidation>
    <dataValidation type="list" allowBlank="1" showErrorMessage="1" sqref="C2:C51">
      <formula1>"salary,ISA,PP,PP + SP,ISA + PP + SP,ISA + SP,PP + SP + ISA + DB"</formula1>
    </dataValidation>
    <dataValidation type="custom" allowBlank="1" showDropDown="1" sqref="A2:B51 E2:K5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241</v>
      </c>
      <c r="B1" s="7" t="s">
        <v>260</v>
      </c>
      <c r="C1" s="7" t="s">
        <v>243</v>
      </c>
      <c r="D1" s="7" t="s">
        <v>244</v>
      </c>
      <c r="E1" s="7" t="s">
        <v>245</v>
      </c>
      <c r="F1" s="7" t="s">
        <v>246</v>
      </c>
      <c r="G1" s="7" t="s">
        <v>247</v>
      </c>
      <c r="H1" s="7" t="s">
        <v>248</v>
      </c>
      <c r="I1" s="7" t="s">
        <v>261</v>
      </c>
      <c r="J1" s="7" t="s">
        <v>262</v>
      </c>
      <c r="K1" s="7" t="s">
        <v>250</v>
      </c>
    </row>
    <row r="2">
      <c r="A2" s="7">
        <v>41.0</v>
      </c>
      <c r="B2" s="7">
        <v>27600.0</v>
      </c>
      <c r="C2" s="7" t="s">
        <v>251</v>
      </c>
      <c r="D2" s="7" t="s">
        <v>235</v>
      </c>
      <c r="E2" s="7">
        <v>31000.0</v>
      </c>
      <c r="F2" s="7">
        <v>16000.0</v>
      </c>
      <c r="G2" s="7">
        <v>51873.0</v>
      </c>
      <c r="H2" s="12">
        <f t="shared" ref="H2:H13" si="1">85000*21%+800*12</f>
        <v>27450</v>
      </c>
      <c r="I2" s="7">
        <v>12547.0</v>
      </c>
      <c r="K2" s="12">
        <f t="shared" ref="K2:K51" si="2">E2+G2</f>
        <v>82873</v>
      </c>
    </row>
    <row r="3">
      <c r="A3" s="7">
        <v>42.0</v>
      </c>
      <c r="B3" s="12">
        <f t="shared" ref="B3:B51" si="3">B2*1.028</f>
        <v>28372.8</v>
      </c>
      <c r="C3" s="7" t="s">
        <v>251</v>
      </c>
      <c r="D3" s="7" t="s">
        <v>235</v>
      </c>
      <c r="E3" s="7">
        <f t="shared" ref="E3:E51" si="4">E2*1.07+F2</f>
        <v>49170</v>
      </c>
      <c r="F3" s="7">
        <v>16000.0</v>
      </c>
      <c r="G3" s="12">
        <f t="shared" ref="G3:G51" si="5">G2*1.05+H2</f>
        <v>81916.65</v>
      </c>
      <c r="H3" s="12">
        <f t="shared" si="1"/>
        <v>27450</v>
      </c>
      <c r="I3" s="12">
        <f t="shared" ref="I3:I51" si="6">I2*1.028</f>
        <v>12898.316</v>
      </c>
      <c r="K3" s="12">
        <f t="shared" si="2"/>
        <v>131086.65</v>
      </c>
    </row>
    <row r="4">
      <c r="A4" s="7">
        <v>43.0</v>
      </c>
      <c r="B4" s="12">
        <f t="shared" si="3"/>
        <v>29167.2384</v>
      </c>
      <c r="C4" s="7" t="s">
        <v>251</v>
      </c>
      <c r="D4" s="7" t="s">
        <v>235</v>
      </c>
      <c r="E4" s="7">
        <f t="shared" si="4"/>
        <v>68611.9</v>
      </c>
      <c r="F4" s="7">
        <v>16000.0</v>
      </c>
      <c r="G4" s="12">
        <f t="shared" si="5"/>
        <v>113462.4825</v>
      </c>
      <c r="H4" s="12">
        <f t="shared" si="1"/>
        <v>27450</v>
      </c>
      <c r="I4" s="12">
        <f t="shared" si="6"/>
        <v>13259.46885</v>
      </c>
      <c r="K4" s="12">
        <f t="shared" si="2"/>
        <v>182074.3825</v>
      </c>
    </row>
    <row r="5">
      <c r="A5" s="7">
        <v>44.0</v>
      </c>
      <c r="B5" s="12">
        <f t="shared" si="3"/>
        <v>29983.92108</v>
      </c>
      <c r="C5" s="7" t="s">
        <v>251</v>
      </c>
      <c r="D5" s="7" t="s">
        <v>235</v>
      </c>
      <c r="E5" s="7">
        <f t="shared" si="4"/>
        <v>89414.733</v>
      </c>
      <c r="F5" s="7">
        <v>16000.0</v>
      </c>
      <c r="G5" s="12">
        <f t="shared" si="5"/>
        <v>146585.6066</v>
      </c>
      <c r="H5" s="12">
        <f t="shared" si="1"/>
        <v>27450</v>
      </c>
      <c r="I5" s="12">
        <f t="shared" si="6"/>
        <v>13630.73398</v>
      </c>
      <c r="K5" s="12">
        <f t="shared" si="2"/>
        <v>236000.3396</v>
      </c>
    </row>
    <row r="6">
      <c r="A6" s="7">
        <v>45.0</v>
      </c>
      <c r="B6" s="12">
        <f t="shared" si="3"/>
        <v>30823.47087</v>
      </c>
      <c r="C6" s="7" t="s">
        <v>251</v>
      </c>
      <c r="D6" s="7" t="s">
        <v>235</v>
      </c>
      <c r="E6" s="7">
        <f t="shared" si="4"/>
        <v>111673.7643</v>
      </c>
      <c r="F6" s="7">
        <v>16000.0</v>
      </c>
      <c r="G6" s="12">
        <f t="shared" si="5"/>
        <v>181364.887</v>
      </c>
      <c r="H6" s="12">
        <f t="shared" si="1"/>
        <v>27450</v>
      </c>
      <c r="I6" s="12">
        <f t="shared" si="6"/>
        <v>14012.39453</v>
      </c>
      <c r="K6" s="12">
        <f t="shared" si="2"/>
        <v>293038.6513</v>
      </c>
    </row>
    <row r="7">
      <c r="A7" s="7">
        <v>46.0</v>
      </c>
      <c r="B7" s="12">
        <f t="shared" si="3"/>
        <v>31686.52805</v>
      </c>
      <c r="C7" s="7" t="s">
        <v>251</v>
      </c>
      <c r="D7" s="7" t="s">
        <v>235</v>
      </c>
      <c r="E7" s="7">
        <f t="shared" si="4"/>
        <v>135490.9278</v>
      </c>
      <c r="F7" s="7">
        <v>16000.0</v>
      </c>
      <c r="G7" s="12">
        <f t="shared" si="5"/>
        <v>217883.1313</v>
      </c>
      <c r="H7" s="12">
        <f t="shared" si="1"/>
        <v>27450</v>
      </c>
      <c r="I7" s="12">
        <f t="shared" si="6"/>
        <v>14404.74157</v>
      </c>
      <c r="K7" s="12">
        <f t="shared" si="2"/>
        <v>353374.0591</v>
      </c>
    </row>
    <row r="8">
      <c r="A8" s="7">
        <v>47.0</v>
      </c>
      <c r="B8" s="12">
        <f t="shared" si="3"/>
        <v>32573.75083</v>
      </c>
      <c r="C8" s="7" t="s">
        <v>251</v>
      </c>
      <c r="D8" s="7" t="s">
        <v>235</v>
      </c>
      <c r="E8" s="7">
        <f t="shared" si="4"/>
        <v>160975.2928</v>
      </c>
      <c r="F8" s="7">
        <v>16000.0</v>
      </c>
      <c r="G8" s="12">
        <f t="shared" si="5"/>
        <v>256227.2879</v>
      </c>
      <c r="H8" s="12">
        <f t="shared" si="1"/>
        <v>27450</v>
      </c>
      <c r="I8" s="12">
        <f t="shared" si="6"/>
        <v>14808.07434</v>
      </c>
      <c r="K8" s="12">
        <f t="shared" si="2"/>
        <v>417202.5806</v>
      </c>
    </row>
    <row r="9">
      <c r="A9" s="7">
        <v>48.0</v>
      </c>
      <c r="B9" s="12">
        <f t="shared" si="3"/>
        <v>33485.81586</v>
      </c>
      <c r="C9" s="7" t="s">
        <v>251</v>
      </c>
      <c r="D9" s="7" t="s">
        <v>235</v>
      </c>
      <c r="E9" s="7">
        <f t="shared" si="4"/>
        <v>188243.5633</v>
      </c>
      <c r="F9" s="7">
        <v>16000.0</v>
      </c>
      <c r="G9" s="12">
        <f t="shared" si="5"/>
        <v>296488.6523</v>
      </c>
      <c r="H9" s="12">
        <f t="shared" si="1"/>
        <v>27450</v>
      </c>
      <c r="I9" s="12">
        <f t="shared" si="6"/>
        <v>15222.70042</v>
      </c>
      <c r="K9" s="12">
        <f t="shared" si="2"/>
        <v>484732.2155</v>
      </c>
    </row>
    <row r="10">
      <c r="A10" s="7">
        <v>49.0</v>
      </c>
      <c r="B10" s="12">
        <f t="shared" si="3"/>
        <v>34423.4187</v>
      </c>
      <c r="C10" s="7" t="s">
        <v>251</v>
      </c>
      <c r="D10" s="7" t="s">
        <v>235</v>
      </c>
      <c r="E10" s="7">
        <f t="shared" si="4"/>
        <v>217420.6127</v>
      </c>
      <c r="F10" s="7">
        <v>16000.0</v>
      </c>
      <c r="G10" s="12">
        <f t="shared" si="5"/>
        <v>338763.0849</v>
      </c>
      <c r="H10" s="12">
        <f t="shared" si="1"/>
        <v>27450</v>
      </c>
      <c r="I10" s="12">
        <f t="shared" si="6"/>
        <v>15648.93603</v>
      </c>
      <c r="K10" s="12">
        <f t="shared" si="2"/>
        <v>556183.6976</v>
      </c>
    </row>
    <row r="11">
      <c r="A11" s="7">
        <v>50.0</v>
      </c>
      <c r="B11" s="12">
        <f t="shared" si="3"/>
        <v>35387.27443</v>
      </c>
      <c r="C11" s="7" t="s">
        <v>251</v>
      </c>
      <c r="D11" s="7" t="s">
        <v>235</v>
      </c>
      <c r="E11" s="7">
        <f t="shared" si="4"/>
        <v>248640.0556</v>
      </c>
      <c r="F11" s="7">
        <v>16000.0</v>
      </c>
      <c r="G11" s="12">
        <f t="shared" si="5"/>
        <v>383151.2391</v>
      </c>
      <c r="H11" s="12">
        <f t="shared" si="1"/>
        <v>27450</v>
      </c>
      <c r="I11" s="12">
        <f t="shared" si="6"/>
        <v>16087.10624</v>
      </c>
      <c r="K11" s="12">
        <f t="shared" si="2"/>
        <v>631791.2947</v>
      </c>
    </row>
    <row r="12">
      <c r="A12" s="7">
        <v>51.0</v>
      </c>
      <c r="B12" s="12">
        <f t="shared" si="3"/>
        <v>36378.11811</v>
      </c>
      <c r="C12" s="7" t="s">
        <v>251</v>
      </c>
      <c r="D12" s="7" t="s">
        <v>235</v>
      </c>
      <c r="E12" s="7">
        <f t="shared" si="4"/>
        <v>282044.8595</v>
      </c>
      <c r="F12" s="7">
        <v>16000.0</v>
      </c>
      <c r="G12" s="12">
        <f t="shared" si="5"/>
        <v>429758.8011</v>
      </c>
      <c r="H12" s="12">
        <f t="shared" si="1"/>
        <v>27450</v>
      </c>
      <c r="I12" s="12">
        <f t="shared" si="6"/>
        <v>16537.54521</v>
      </c>
      <c r="K12" s="12">
        <f t="shared" si="2"/>
        <v>711803.6605</v>
      </c>
    </row>
    <row r="13">
      <c r="A13" s="7">
        <v>52.0</v>
      </c>
      <c r="B13" s="12">
        <f t="shared" si="3"/>
        <v>37396.70542</v>
      </c>
      <c r="C13" s="7" t="s">
        <v>253</v>
      </c>
      <c r="D13" s="7" t="s">
        <v>237</v>
      </c>
      <c r="E13" s="7">
        <f t="shared" si="4"/>
        <v>317787.9996</v>
      </c>
      <c r="F13" s="7">
        <f t="shared" ref="F13:F23" si="7">-B13</f>
        <v>-37396.70542</v>
      </c>
      <c r="G13" s="12">
        <f t="shared" si="5"/>
        <v>478696.7411</v>
      </c>
      <c r="H13" s="12">
        <f t="shared" si="1"/>
        <v>27450</v>
      </c>
      <c r="I13" s="12">
        <f t="shared" si="6"/>
        <v>17000.59648</v>
      </c>
      <c r="K13" s="12">
        <f t="shared" si="2"/>
        <v>796484.7407</v>
      </c>
    </row>
    <row r="14">
      <c r="A14" s="7">
        <v>53.0</v>
      </c>
      <c r="B14" s="12">
        <f t="shared" si="3"/>
        <v>38443.81317</v>
      </c>
      <c r="C14" s="7" t="s">
        <v>253</v>
      </c>
      <c r="D14" s="7" t="s">
        <v>237</v>
      </c>
      <c r="E14" s="7">
        <f t="shared" si="4"/>
        <v>302636.4542</v>
      </c>
      <c r="F14" s="12">
        <f t="shared" si="7"/>
        <v>-38443.81317</v>
      </c>
      <c r="G14" s="12">
        <f t="shared" si="5"/>
        <v>530081.5782</v>
      </c>
      <c r="I14" s="12">
        <f t="shared" si="6"/>
        <v>17476.61318</v>
      </c>
      <c r="K14" s="12">
        <f t="shared" si="2"/>
        <v>832718.0324</v>
      </c>
    </row>
    <row r="15">
      <c r="A15" s="7">
        <v>54.0</v>
      </c>
      <c r="B15" s="12">
        <f t="shared" si="3"/>
        <v>39520.23994</v>
      </c>
      <c r="C15" s="7" t="s">
        <v>253</v>
      </c>
      <c r="D15" s="7" t="s">
        <v>237</v>
      </c>
      <c r="E15" s="7">
        <f t="shared" si="4"/>
        <v>285377.1928</v>
      </c>
      <c r="F15" s="12">
        <f t="shared" si="7"/>
        <v>-39520.23994</v>
      </c>
      <c r="G15" s="12">
        <f t="shared" si="5"/>
        <v>556585.6571</v>
      </c>
      <c r="I15" s="12">
        <f t="shared" si="6"/>
        <v>17965.95835</v>
      </c>
      <c r="K15" s="12">
        <f t="shared" si="2"/>
        <v>841962.8499</v>
      </c>
    </row>
    <row r="16">
      <c r="A16" s="7">
        <v>55.0</v>
      </c>
      <c r="B16" s="12">
        <f t="shared" si="3"/>
        <v>40626.80666</v>
      </c>
      <c r="C16" s="7" t="s">
        <v>253</v>
      </c>
      <c r="D16" s="7" t="s">
        <v>237</v>
      </c>
      <c r="E16" s="7">
        <f t="shared" si="4"/>
        <v>265833.3564</v>
      </c>
      <c r="F16" s="12">
        <f t="shared" si="7"/>
        <v>-40626.80666</v>
      </c>
      <c r="G16" s="12">
        <f t="shared" si="5"/>
        <v>584414.9399</v>
      </c>
      <c r="I16" s="12">
        <f t="shared" si="6"/>
        <v>18469.00519</v>
      </c>
      <c r="K16" s="12">
        <f t="shared" si="2"/>
        <v>850248.2963</v>
      </c>
    </row>
    <row r="17">
      <c r="A17" s="7">
        <v>56.0</v>
      </c>
      <c r="B17" s="12">
        <f t="shared" si="3"/>
        <v>41764.35724</v>
      </c>
      <c r="C17" s="7" t="s">
        <v>253</v>
      </c>
      <c r="D17" s="7" t="s">
        <v>237</v>
      </c>
      <c r="E17" s="7">
        <f t="shared" si="4"/>
        <v>243814.8846</v>
      </c>
      <c r="F17" s="12">
        <f t="shared" si="7"/>
        <v>-41764.35724</v>
      </c>
      <c r="G17" s="12">
        <f t="shared" si="5"/>
        <v>613635.6869</v>
      </c>
      <c r="I17" s="12">
        <f t="shared" si="6"/>
        <v>18986.13733</v>
      </c>
      <c r="K17" s="12">
        <f t="shared" si="2"/>
        <v>857450.5716</v>
      </c>
    </row>
    <row r="18">
      <c r="A18" s="7">
        <v>57.0</v>
      </c>
      <c r="B18" s="12">
        <f t="shared" si="3"/>
        <v>42933.75924</v>
      </c>
      <c r="C18" s="7" t="s">
        <v>253</v>
      </c>
      <c r="D18" s="7" t="s">
        <v>237</v>
      </c>
      <c r="E18" s="7">
        <f t="shared" si="4"/>
        <v>219117.5693</v>
      </c>
      <c r="F18" s="12">
        <f t="shared" si="7"/>
        <v>-42933.75924</v>
      </c>
      <c r="G18" s="12">
        <f t="shared" si="5"/>
        <v>644317.4713</v>
      </c>
      <c r="I18" s="12">
        <f t="shared" si="6"/>
        <v>19517.74918</v>
      </c>
      <c r="K18" s="12">
        <f t="shared" si="2"/>
        <v>863435.0406</v>
      </c>
    </row>
    <row r="19">
      <c r="A19" s="7">
        <v>58.0</v>
      </c>
      <c r="B19" s="12">
        <f t="shared" si="3"/>
        <v>44135.9045</v>
      </c>
      <c r="C19" s="7" t="s">
        <v>253</v>
      </c>
      <c r="D19" s="7" t="s">
        <v>237</v>
      </c>
      <c r="E19" s="7">
        <f t="shared" si="4"/>
        <v>191522.0399</v>
      </c>
      <c r="F19" s="12">
        <f t="shared" si="7"/>
        <v>-44135.9045</v>
      </c>
      <c r="G19" s="12">
        <f t="shared" si="5"/>
        <v>676533.3449</v>
      </c>
      <c r="I19" s="12">
        <f t="shared" si="6"/>
        <v>20064.24615</v>
      </c>
      <c r="K19" s="12">
        <f t="shared" si="2"/>
        <v>868055.3848</v>
      </c>
    </row>
    <row r="20">
      <c r="A20" s="7">
        <v>59.0</v>
      </c>
      <c r="B20" s="12">
        <f t="shared" si="3"/>
        <v>45371.70983</v>
      </c>
      <c r="C20" s="7" t="s">
        <v>253</v>
      </c>
      <c r="D20" s="7" t="s">
        <v>237</v>
      </c>
      <c r="E20" s="7">
        <f t="shared" si="4"/>
        <v>160792.6782</v>
      </c>
      <c r="F20" s="12">
        <f t="shared" si="7"/>
        <v>-45371.70983</v>
      </c>
      <c r="G20" s="12">
        <f t="shared" si="5"/>
        <v>710360.0121</v>
      </c>
      <c r="I20" s="12">
        <f t="shared" si="6"/>
        <v>20626.04504</v>
      </c>
      <c r="K20" s="12">
        <f t="shared" si="2"/>
        <v>871152.6903</v>
      </c>
    </row>
    <row r="21">
      <c r="A21" s="7">
        <v>60.0</v>
      </c>
      <c r="B21" s="12">
        <f t="shared" si="3"/>
        <v>46642.1177</v>
      </c>
      <c r="C21" s="7" t="s">
        <v>253</v>
      </c>
      <c r="D21" s="7" t="s">
        <v>237</v>
      </c>
      <c r="E21" s="7">
        <f t="shared" si="4"/>
        <v>126676.4559</v>
      </c>
      <c r="F21" s="12">
        <f t="shared" si="7"/>
        <v>-46642.1177</v>
      </c>
      <c r="G21" s="12">
        <f t="shared" si="5"/>
        <v>745878.0127</v>
      </c>
      <c r="I21" s="12">
        <f t="shared" si="6"/>
        <v>21203.57431</v>
      </c>
      <c r="K21" s="12">
        <f t="shared" si="2"/>
        <v>872554.4686</v>
      </c>
    </row>
    <row r="22">
      <c r="A22" s="7">
        <v>61.0</v>
      </c>
      <c r="B22" s="12">
        <f t="shared" si="3"/>
        <v>47948.097</v>
      </c>
      <c r="C22" s="7" t="s">
        <v>253</v>
      </c>
      <c r="D22" s="7" t="s">
        <v>237</v>
      </c>
      <c r="E22" s="7">
        <f t="shared" si="4"/>
        <v>88901.69008</v>
      </c>
      <c r="F22" s="12">
        <f t="shared" si="7"/>
        <v>-47948.097</v>
      </c>
      <c r="G22" s="12">
        <f t="shared" si="5"/>
        <v>783171.9133</v>
      </c>
      <c r="I22" s="12">
        <f t="shared" si="6"/>
        <v>21797.27439</v>
      </c>
      <c r="K22" s="12">
        <f t="shared" si="2"/>
        <v>872073.6034</v>
      </c>
    </row>
    <row r="23">
      <c r="A23" s="7">
        <v>62.0</v>
      </c>
      <c r="B23" s="12">
        <f t="shared" si="3"/>
        <v>49290.64372</v>
      </c>
      <c r="C23" s="7" t="s">
        <v>253</v>
      </c>
      <c r="D23" s="7" t="s">
        <v>237</v>
      </c>
      <c r="E23" s="7">
        <f t="shared" si="4"/>
        <v>47176.71139</v>
      </c>
      <c r="F23" s="12">
        <f t="shared" si="7"/>
        <v>-49290.64372</v>
      </c>
      <c r="G23" s="12">
        <f t="shared" si="5"/>
        <v>822330.509</v>
      </c>
      <c r="I23" s="12">
        <f t="shared" si="6"/>
        <v>22407.59807</v>
      </c>
      <c r="K23" s="12">
        <f t="shared" si="2"/>
        <v>869507.2204</v>
      </c>
    </row>
    <row r="24">
      <c r="A24" s="7">
        <v>63.0</v>
      </c>
      <c r="B24" s="12">
        <f t="shared" si="3"/>
        <v>50670.78174</v>
      </c>
      <c r="C24" s="7" t="s">
        <v>254</v>
      </c>
      <c r="D24" s="7" t="s">
        <v>237</v>
      </c>
      <c r="E24" s="7">
        <f t="shared" si="4"/>
        <v>1188.437468</v>
      </c>
      <c r="G24" s="12">
        <f t="shared" si="5"/>
        <v>863447.0345</v>
      </c>
      <c r="H24" s="12">
        <f t="shared" ref="H24:H28" si="8">-B24</f>
        <v>-50670.78174</v>
      </c>
      <c r="I24" s="12">
        <f t="shared" si="6"/>
        <v>23035.01082</v>
      </c>
      <c r="K24" s="12">
        <f t="shared" si="2"/>
        <v>864635.4719</v>
      </c>
    </row>
    <row r="25">
      <c r="A25" s="7">
        <v>64.0</v>
      </c>
      <c r="B25" s="12">
        <f t="shared" si="3"/>
        <v>52089.56363</v>
      </c>
      <c r="C25" s="7" t="s">
        <v>254</v>
      </c>
      <c r="D25" s="7" t="s">
        <v>237</v>
      </c>
      <c r="E25" s="7">
        <f t="shared" si="4"/>
        <v>1271.62809</v>
      </c>
      <c r="G25" s="12">
        <f t="shared" si="5"/>
        <v>855948.6044</v>
      </c>
      <c r="H25" s="12">
        <f t="shared" si="8"/>
        <v>-52089.56363</v>
      </c>
      <c r="I25" s="12">
        <f t="shared" si="6"/>
        <v>23679.99112</v>
      </c>
      <c r="K25" s="12">
        <f t="shared" si="2"/>
        <v>857220.2325</v>
      </c>
    </row>
    <row r="26">
      <c r="A26" s="7">
        <v>65.0</v>
      </c>
      <c r="B26" s="12">
        <f t="shared" si="3"/>
        <v>53548.07141</v>
      </c>
      <c r="C26" s="7" t="s">
        <v>254</v>
      </c>
      <c r="D26" s="7" t="s">
        <v>237</v>
      </c>
      <c r="E26" s="7">
        <f t="shared" si="4"/>
        <v>1360.642057</v>
      </c>
      <c r="G26" s="12">
        <f t="shared" si="5"/>
        <v>846656.471</v>
      </c>
      <c r="H26" s="12">
        <f t="shared" si="8"/>
        <v>-53548.07141</v>
      </c>
      <c r="I26" s="12">
        <f t="shared" si="6"/>
        <v>24343.03087</v>
      </c>
      <c r="K26" s="12">
        <f t="shared" si="2"/>
        <v>848017.1131</v>
      </c>
    </row>
    <row r="27">
      <c r="A27" s="7">
        <v>66.0</v>
      </c>
      <c r="B27" s="12">
        <f t="shared" si="3"/>
        <v>55047.41741</v>
      </c>
      <c r="C27" s="7" t="s">
        <v>254</v>
      </c>
      <c r="D27" s="7" t="s">
        <v>237</v>
      </c>
      <c r="E27" s="7">
        <f t="shared" si="4"/>
        <v>1455.887001</v>
      </c>
      <c r="G27" s="12">
        <f t="shared" si="5"/>
        <v>835441.2232</v>
      </c>
      <c r="H27" s="12">
        <f t="shared" si="8"/>
        <v>-55047.41741</v>
      </c>
      <c r="I27" s="12">
        <f t="shared" si="6"/>
        <v>25024.63573</v>
      </c>
      <c r="K27" s="12">
        <f t="shared" si="2"/>
        <v>836897.1102</v>
      </c>
    </row>
    <row r="28">
      <c r="A28" s="7">
        <v>67.0</v>
      </c>
      <c r="B28" s="12">
        <f t="shared" si="3"/>
        <v>56588.7451</v>
      </c>
      <c r="C28" s="7" t="s">
        <v>254</v>
      </c>
      <c r="D28" s="7" t="s">
        <v>237</v>
      </c>
      <c r="E28" s="7">
        <f t="shared" si="4"/>
        <v>1557.799091</v>
      </c>
      <c r="G28" s="12">
        <f t="shared" si="5"/>
        <v>822165.8669</v>
      </c>
      <c r="H28" s="12">
        <f t="shared" si="8"/>
        <v>-56588.7451</v>
      </c>
      <c r="I28" s="12">
        <f t="shared" si="6"/>
        <v>25725.32553</v>
      </c>
      <c r="K28" s="12">
        <f t="shared" si="2"/>
        <v>823723.666</v>
      </c>
    </row>
    <row r="29">
      <c r="A29" s="7">
        <v>68.0</v>
      </c>
      <c r="B29" s="12">
        <f t="shared" si="3"/>
        <v>58173.22996</v>
      </c>
      <c r="C29" s="7" t="s">
        <v>255</v>
      </c>
      <c r="D29" s="7" t="s">
        <v>237</v>
      </c>
      <c r="E29" s="7">
        <f t="shared" si="4"/>
        <v>1666.845027</v>
      </c>
      <c r="G29" s="12">
        <f t="shared" si="5"/>
        <v>806685.4152</v>
      </c>
      <c r="H29" s="12">
        <f t="shared" ref="H29:H51" si="9">-J29</f>
        <v>-31727.59531</v>
      </c>
      <c r="I29" s="12">
        <f t="shared" si="6"/>
        <v>26445.63465</v>
      </c>
      <c r="J29" s="12">
        <f t="shared" ref="J29:J51" si="10">B29-I29</f>
        <v>31727.59531</v>
      </c>
      <c r="K29" s="12">
        <f t="shared" si="2"/>
        <v>808352.2602</v>
      </c>
    </row>
    <row r="30">
      <c r="A30" s="7">
        <v>69.0</v>
      </c>
      <c r="B30" s="12">
        <f t="shared" si="3"/>
        <v>59802.0804</v>
      </c>
      <c r="C30" s="7" t="s">
        <v>255</v>
      </c>
      <c r="D30" s="7" t="s">
        <v>237</v>
      </c>
      <c r="E30" s="7">
        <f t="shared" si="4"/>
        <v>1783.524179</v>
      </c>
      <c r="G30" s="12">
        <f t="shared" si="5"/>
        <v>815292.0906</v>
      </c>
      <c r="H30" s="12">
        <f t="shared" si="9"/>
        <v>-32615.96798</v>
      </c>
      <c r="I30" s="12">
        <f t="shared" si="6"/>
        <v>27186.11242</v>
      </c>
      <c r="J30" s="12">
        <f t="shared" si="10"/>
        <v>32615.96798</v>
      </c>
      <c r="K30" s="12">
        <f t="shared" si="2"/>
        <v>817075.6148</v>
      </c>
    </row>
    <row r="31">
      <c r="A31" s="7">
        <v>70.0</v>
      </c>
      <c r="B31" s="12">
        <f t="shared" si="3"/>
        <v>61476.53865</v>
      </c>
      <c r="C31" s="7" t="s">
        <v>255</v>
      </c>
      <c r="D31" s="7" t="s">
        <v>237</v>
      </c>
      <c r="E31" s="7">
        <f t="shared" si="4"/>
        <v>1908.370871</v>
      </c>
      <c r="G31" s="12">
        <f t="shared" si="5"/>
        <v>823440.7272</v>
      </c>
      <c r="H31" s="12">
        <f t="shared" si="9"/>
        <v>-33529.21508</v>
      </c>
      <c r="I31" s="12">
        <f t="shared" si="6"/>
        <v>27947.32357</v>
      </c>
      <c r="J31" s="12">
        <f t="shared" si="10"/>
        <v>33529.21508</v>
      </c>
      <c r="K31" s="12">
        <f t="shared" si="2"/>
        <v>825349.098</v>
      </c>
    </row>
    <row r="32">
      <c r="A32" s="7">
        <v>71.0</v>
      </c>
      <c r="B32" s="12">
        <f t="shared" si="3"/>
        <v>63197.88173</v>
      </c>
      <c r="C32" s="7" t="s">
        <v>255</v>
      </c>
      <c r="D32" s="7" t="s">
        <v>237</v>
      </c>
      <c r="E32" s="7">
        <f t="shared" si="4"/>
        <v>2041.956832</v>
      </c>
      <c r="G32" s="12">
        <f t="shared" si="5"/>
        <v>831083.5484</v>
      </c>
      <c r="H32" s="12">
        <f t="shared" si="9"/>
        <v>-34468.03311</v>
      </c>
      <c r="I32" s="12">
        <f t="shared" si="6"/>
        <v>28729.84863</v>
      </c>
      <c r="J32" s="12">
        <f t="shared" si="10"/>
        <v>34468.03311</v>
      </c>
      <c r="K32" s="12">
        <f t="shared" si="2"/>
        <v>833125.5053</v>
      </c>
    </row>
    <row r="33">
      <c r="A33" s="7">
        <v>72.0</v>
      </c>
      <c r="B33" s="12">
        <f t="shared" si="3"/>
        <v>64967.42242</v>
      </c>
      <c r="C33" s="7" t="s">
        <v>255</v>
      </c>
      <c r="D33" s="7" t="s">
        <v>237</v>
      </c>
      <c r="E33" s="7">
        <f t="shared" si="4"/>
        <v>2184.893811</v>
      </c>
      <c r="G33" s="12">
        <f t="shared" si="5"/>
        <v>838169.6928</v>
      </c>
      <c r="H33" s="12">
        <f t="shared" si="9"/>
        <v>-35433.13803</v>
      </c>
      <c r="I33" s="12">
        <f t="shared" si="6"/>
        <v>29534.28439</v>
      </c>
      <c r="J33" s="12">
        <f t="shared" si="10"/>
        <v>35433.13803</v>
      </c>
      <c r="K33" s="12">
        <f t="shared" si="2"/>
        <v>840354.5866</v>
      </c>
    </row>
    <row r="34">
      <c r="A34" s="7">
        <v>73.0</v>
      </c>
      <c r="B34" s="12">
        <f t="shared" si="3"/>
        <v>66786.51025</v>
      </c>
      <c r="C34" s="7" t="s">
        <v>255</v>
      </c>
      <c r="D34" s="7" t="s">
        <v>237</v>
      </c>
      <c r="E34" s="7">
        <f t="shared" si="4"/>
        <v>2337.836377</v>
      </c>
      <c r="G34" s="12">
        <f t="shared" si="5"/>
        <v>844645.0394</v>
      </c>
      <c r="H34" s="12">
        <f t="shared" si="9"/>
        <v>-36425.2659</v>
      </c>
      <c r="I34" s="12">
        <f t="shared" si="6"/>
        <v>30361.24435</v>
      </c>
      <c r="J34" s="12">
        <f t="shared" si="10"/>
        <v>36425.2659</v>
      </c>
      <c r="K34" s="12">
        <f t="shared" si="2"/>
        <v>846982.8757</v>
      </c>
    </row>
    <row r="35">
      <c r="A35" s="7">
        <v>74.0</v>
      </c>
      <c r="B35" s="12">
        <f t="shared" si="3"/>
        <v>68656.53254</v>
      </c>
      <c r="C35" s="7" t="s">
        <v>255</v>
      </c>
      <c r="D35" s="7" t="s">
        <v>237</v>
      </c>
      <c r="E35" s="7">
        <f t="shared" si="4"/>
        <v>2501.484924</v>
      </c>
      <c r="G35" s="12">
        <f t="shared" si="5"/>
        <v>850452.0254</v>
      </c>
      <c r="H35" s="12">
        <f t="shared" si="9"/>
        <v>-37445.17334</v>
      </c>
      <c r="I35" s="12">
        <f t="shared" si="6"/>
        <v>31211.35919</v>
      </c>
      <c r="J35" s="12">
        <f t="shared" si="10"/>
        <v>37445.17334</v>
      </c>
      <c r="K35" s="12">
        <f t="shared" si="2"/>
        <v>852953.5104</v>
      </c>
    </row>
    <row r="36">
      <c r="A36" s="7">
        <v>75.0</v>
      </c>
      <c r="B36" s="12">
        <f t="shared" si="3"/>
        <v>70578.91545</v>
      </c>
      <c r="C36" s="7" t="s">
        <v>255</v>
      </c>
      <c r="D36" s="7" t="s">
        <v>237</v>
      </c>
      <c r="E36" s="7">
        <f t="shared" si="4"/>
        <v>2676.588868</v>
      </c>
      <c r="G36" s="12">
        <f t="shared" si="5"/>
        <v>855529.4534</v>
      </c>
      <c r="H36" s="12">
        <f t="shared" si="9"/>
        <v>-38493.6382</v>
      </c>
      <c r="I36" s="12">
        <f t="shared" si="6"/>
        <v>32085.27725</v>
      </c>
      <c r="J36" s="12">
        <f t="shared" si="10"/>
        <v>38493.6382</v>
      </c>
      <c r="K36" s="12">
        <f t="shared" si="2"/>
        <v>858206.0422</v>
      </c>
    </row>
    <row r="37">
      <c r="A37" s="7">
        <v>76.0</v>
      </c>
      <c r="B37" s="12">
        <f t="shared" si="3"/>
        <v>72555.12508</v>
      </c>
      <c r="C37" s="7" t="s">
        <v>255</v>
      </c>
      <c r="D37" s="7" t="s">
        <v>237</v>
      </c>
      <c r="E37" s="7">
        <f t="shared" si="4"/>
        <v>2863.950089</v>
      </c>
      <c r="G37" s="12">
        <f t="shared" si="5"/>
        <v>859812.2878</v>
      </c>
      <c r="H37" s="12">
        <f t="shared" si="9"/>
        <v>-39571.46007</v>
      </c>
      <c r="I37" s="12">
        <f t="shared" si="6"/>
        <v>32983.66501</v>
      </c>
      <c r="J37" s="12">
        <f t="shared" si="10"/>
        <v>39571.46007</v>
      </c>
      <c r="K37" s="12">
        <f t="shared" si="2"/>
        <v>862676.2379</v>
      </c>
    </row>
    <row r="38">
      <c r="A38" s="7">
        <v>77.0</v>
      </c>
      <c r="B38" s="12">
        <f t="shared" si="3"/>
        <v>74586.66858</v>
      </c>
      <c r="C38" s="7" t="s">
        <v>255</v>
      </c>
      <c r="D38" s="7" t="s">
        <v>237</v>
      </c>
      <c r="E38" s="7">
        <f t="shared" si="4"/>
        <v>3064.426596</v>
      </c>
      <c r="G38" s="12">
        <f t="shared" si="5"/>
        <v>863231.4422</v>
      </c>
      <c r="H38" s="12">
        <f t="shared" si="9"/>
        <v>-40679.46095</v>
      </c>
      <c r="I38" s="12">
        <f t="shared" si="6"/>
        <v>33907.20763</v>
      </c>
      <c r="J38" s="12">
        <f t="shared" si="10"/>
        <v>40679.46095</v>
      </c>
      <c r="K38" s="12">
        <f t="shared" si="2"/>
        <v>866295.8688</v>
      </c>
    </row>
    <row r="39">
      <c r="A39" s="7">
        <v>78.0</v>
      </c>
      <c r="B39" s="12">
        <f t="shared" si="3"/>
        <v>76675.0953</v>
      </c>
      <c r="C39" s="7" t="s">
        <v>255</v>
      </c>
      <c r="D39" s="7" t="s">
        <v>237</v>
      </c>
      <c r="E39" s="7">
        <f t="shared" si="4"/>
        <v>3278.936457</v>
      </c>
      <c r="G39" s="12">
        <f t="shared" si="5"/>
        <v>865713.5533</v>
      </c>
      <c r="H39" s="12">
        <f t="shared" si="9"/>
        <v>-41818.48585</v>
      </c>
      <c r="I39" s="12">
        <f t="shared" si="6"/>
        <v>34856.60945</v>
      </c>
      <c r="J39" s="12">
        <f t="shared" si="10"/>
        <v>41818.48585</v>
      </c>
      <c r="K39" s="12">
        <f t="shared" si="2"/>
        <v>868992.4898</v>
      </c>
    </row>
    <row r="40">
      <c r="A40" s="7">
        <v>79.0</v>
      </c>
      <c r="B40" s="12">
        <f t="shared" si="3"/>
        <v>78821.99797</v>
      </c>
      <c r="C40" s="7" t="s">
        <v>255</v>
      </c>
      <c r="D40" s="7" t="s">
        <v>237</v>
      </c>
      <c r="E40" s="7">
        <f t="shared" si="4"/>
        <v>3508.462009</v>
      </c>
      <c r="G40" s="12">
        <f t="shared" si="5"/>
        <v>867180.7451</v>
      </c>
      <c r="H40" s="12">
        <f t="shared" si="9"/>
        <v>-42989.40346</v>
      </c>
      <c r="I40" s="12">
        <f t="shared" si="6"/>
        <v>35832.59451</v>
      </c>
      <c r="J40" s="12">
        <f t="shared" si="10"/>
        <v>42989.40346</v>
      </c>
      <c r="K40" s="12">
        <f t="shared" si="2"/>
        <v>870689.2071</v>
      </c>
    </row>
    <row r="41">
      <c r="A41" s="7">
        <v>80.0</v>
      </c>
      <c r="B41" s="12">
        <f t="shared" si="3"/>
        <v>81029.01391</v>
      </c>
      <c r="C41" s="7" t="s">
        <v>255</v>
      </c>
      <c r="D41" s="7" t="s">
        <v>237</v>
      </c>
      <c r="E41" s="7">
        <f t="shared" si="4"/>
        <v>3754.05435</v>
      </c>
      <c r="G41" s="12">
        <f t="shared" si="5"/>
        <v>867550.3789</v>
      </c>
      <c r="H41" s="12">
        <f t="shared" si="9"/>
        <v>-44193.10676</v>
      </c>
      <c r="I41" s="12">
        <f t="shared" si="6"/>
        <v>36835.90716</v>
      </c>
      <c r="J41" s="12">
        <f t="shared" si="10"/>
        <v>44193.10676</v>
      </c>
      <c r="K41" s="12">
        <f t="shared" si="2"/>
        <v>871304.4333</v>
      </c>
    </row>
    <row r="42">
      <c r="A42" s="7">
        <v>81.0</v>
      </c>
      <c r="B42" s="12">
        <f t="shared" si="3"/>
        <v>83297.8263</v>
      </c>
      <c r="C42" s="7" t="s">
        <v>255</v>
      </c>
      <c r="D42" s="7" t="s">
        <v>237</v>
      </c>
      <c r="E42" s="7">
        <f t="shared" si="4"/>
        <v>4016.838154</v>
      </c>
      <c r="G42" s="12">
        <f t="shared" si="5"/>
        <v>866734.7911</v>
      </c>
      <c r="H42" s="12">
        <f t="shared" si="9"/>
        <v>-45430.51374</v>
      </c>
      <c r="I42" s="12">
        <f t="shared" si="6"/>
        <v>37867.31256</v>
      </c>
      <c r="J42" s="12">
        <f t="shared" si="10"/>
        <v>45430.51374</v>
      </c>
      <c r="K42" s="12">
        <f t="shared" si="2"/>
        <v>870751.6293</v>
      </c>
    </row>
    <row r="43">
      <c r="A43" s="7">
        <v>82.0</v>
      </c>
      <c r="B43" s="12">
        <f t="shared" si="3"/>
        <v>85630.16544</v>
      </c>
      <c r="C43" s="7" t="s">
        <v>255</v>
      </c>
      <c r="D43" s="7" t="s">
        <v>237</v>
      </c>
      <c r="E43" s="7">
        <f t="shared" si="4"/>
        <v>4298.016825</v>
      </c>
      <c r="G43" s="12">
        <f t="shared" si="5"/>
        <v>864641.0169</v>
      </c>
      <c r="H43" s="12">
        <f t="shared" si="9"/>
        <v>-46702.56813</v>
      </c>
      <c r="I43" s="12">
        <f t="shared" si="6"/>
        <v>38927.59731</v>
      </c>
      <c r="J43" s="12">
        <f t="shared" si="10"/>
        <v>46702.56813</v>
      </c>
      <c r="K43" s="12">
        <f t="shared" si="2"/>
        <v>868939.0338</v>
      </c>
    </row>
    <row r="44">
      <c r="A44" s="7">
        <v>83.0</v>
      </c>
      <c r="B44" s="12">
        <f t="shared" si="3"/>
        <v>88027.81007</v>
      </c>
      <c r="C44" s="7" t="s">
        <v>255</v>
      </c>
      <c r="D44" s="7" t="s">
        <v>237</v>
      </c>
      <c r="E44" s="7">
        <f t="shared" si="4"/>
        <v>4598.878003</v>
      </c>
      <c r="G44" s="12">
        <f t="shared" si="5"/>
        <v>861170.4996</v>
      </c>
      <c r="H44" s="12">
        <f t="shared" si="9"/>
        <v>-48010.24004</v>
      </c>
      <c r="I44" s="12">
        <f t="shared" si="6"/>
        <v>40017.57004</v>
      </c>
      <c r="J44" s="12">
        <f t="shared" si="10"/>
        <v>48010.24004</v>
      </c>
      <c r="K44" s="12">
        <f t="shared" si="2"/>
        <v>865769.3777</v>
      </c>
    </row>
    <row r="45">
      <c r="A45" s="7">
        <v>84.0</v>
      </c>
      <c r="B45" s="12">
        <f t="shared" si="3"/>
        <v>90492.58875</v>
      </c>
      <c r="C45" s="7" t="s">
        <v>255</v>
      </c>
      <c r="D45" s="7" t="s">
        <v>237</v>
      </c>
      <c r="E45" s="7">
        <f t="shared" si="4"/>
        <v>4920.799463</v>
      </c>
      <c r="G45" s="12">
        <f t="shared" si="5"/>
        <v>856218.7846</v>
      </c>
      <c r="H45" s="12">
        <f t="shared" si="9"/>
        <v>-49354.52676</v>
      </c>
      <c r="I45" s="12">
        <f t="shared" si="6"/>
        <v>41138.062</v>
      </c>
      <c r="J45" s="12">
        <f t="shared" si="10"/>
        <v>49354.52676</v>
      </c>
      <c r="K45" s="12">
        <f t="shared" si="2"/>
        <v>861139.5841</v>
      </c>
    </row>
    <row r="46">
      <c r="A46" s="7">
        <v>85.0</v>
      </c>
      <c r="B46" s="12">
        <f t="shared" si="3"/>
        <v>93026.38124</v>
      </c>
      <c r="C46" s="7" t="s">
        <v>255</v>
      </c>
      <c r="D46" s="7" t="s">
        <v>237</v>
      </c>
      <c r="E46" s="7">
        <f t="shared" si="4"/>
        <v>5265.255426</v>
      </c>
      <c r="G46" s="12">
        <f t="shared" si="5"/>
        <v>849675.1971</v>
      </c>
      <c r="H46" s="12">
        <f t="shared" si="9"/>
        <v>-50736.45351</v>
      </c>
      <c r="I46" s="12">
        <f t="shared" si="6"/>
        <v>42289.92773</v>
      </c>
      <c r="J46" s="12">
        <f t="shared" si="10"/>
        <v>50736.45351</v>
      </c>
      <c r="K46" s="12">
        <f t="shared" si="2"/>
        <v>854940.4525</v>
      </c>
    </row>
    <row r="47">
      <c r="A47" s="7">
        <v>86.0</v>
      </c>
      <c r="B47" s="12">
        <f t="shared" si="3"/>
        <v>95631.11991</v>
      </c>
      <c r="C47" s="7" t="s">
        <v>255</v>
      </c>
      <c r="D47" s="7" t="s">
        <v>237</v>
      </c>
      <c r="E47" s="7">
        <f t="shared" si="4"/>
        <v>5633.823305</v>
      </c>
      <c r="G47" s="12">
        <f t="shared" si="5"/>
        <v>841422.5034</v>
      </c>
      <c r="H47" s="12">
        <f t="shared" si="9"/>
        <v>-52157.07421</v>
      </c>
      <c r="I47" s="12">
        <f t="shared" si="6"/>
        <v>43474.04571</v>
      </c>
      <c r="J47" s="12">
        <f t="shared" si="10"/>
        <v>52157.07421</v>
      </c>
      <c r="K47" s="12">
        <f t="shared" si="2"/>
        <v>847056.3267</v>
      </c>
    </row>
    <row r="48">
      <c r="A48" s="7">
        <v>87.0</v>
      </c>
      <c r="B48" s="12">
        <f t="shared" si="3"/>
        <v>98308.79127</v>
      </c>
      <c r="C48" s="7" t="s">
        <v>255</v>
      </c>
      <c r="D48" s="7" t="s">
        <v>237</v>
      </c>
      <c r="E48" s="7">
        <f t="shared" si="4"/>
        <v>6028.190937</v>
      </c>
      <c r="G48" s="12">
        <f t="shared" si="5"/>
        <v>831336.5544</v>
      </c>
      <c r="H48" s="12">
        <f t="shared" si="9"/>
        <v>-53617.47228</v>
      </c>
      <c r="I48" s="12">
        <f t="shared" si="6"/>
        <v>44691.31899</v>
      </c>
      <c r="J48" s="12">
        <f t="shared" si="10"/>
        <v>53617.47228</v>
      </c>
      <c r="K48" s="12">
        <f t="shared" si="2"/>
        <v>837364.7453</v>
      </c>
    </row>
    <row r="49">
      <c r="A49" s="7">
        <v>88.0</v>
      </c>
      <c r="B49" s="12">
        <f t="shared" si="3"/>
        <v>101061.4374</v>
      </c>
      <c r="C49" s="7" t="s">
        <v>255</v>
      </c>
      <c r="D49" s="7" t="s">
        <v>237</v>
      </c>
      <c r="E49" s="7">
        <f t="shared" si="4"/>
        <v>6450.164302</v>
      </c>
      <c r="G49" s="12">
        <f t="shared" si="5"/>
        <v>819285.9098</v>
      </c>
      <c r="H49" s="12">
        <f t="shared" si="9"/>
        <v>-55118.76151</v>
      </c>
      <c r="I49" s="12">
        <f t="shared" si="6"/>
        <v>45942.67592</v>
      </c>
      <c r="J49" s="12">
        <f t="shared" si="10"/>
        <v>55118.76151</v>
      </c>
      <c r="K49" s="12">
        <f t="shared" si="2"/>
        <v>825736.0741</v>
      </c>
    </row>
    <row r="50">
      <c r="A50" s="7">
        <v>89.0</v>
      </c>
      <c r="B50" s="12">
        <f t="shared" si="3"/>
        <v>103891.1577</v>
      </c>
      <c r="C50" s="7" t="s">
        <v>255</v>
      </c>
      <c r="D50" s="7" t="s">
        <v>237</v>
      </c>
      <c r="E50" s="7">
        <f t="shared" si="4"/>
        <v>6901.675803</v>
      </c>
      <c r="G50" s="12">
        <f t="shared" si="5"/>
        <v>805131.4438</v>
      </c>
      <c r="H50" s="12">
        <f t="shared" si="9"/>
        <v>-56662.08683</v>
      </c>
      <c r="I50" s="12">
        <f t="shared" si="6"/>
        <v>47229.07085</v>
      </c>
      <c r="J50" s="12">
        <f t="shared" si="10"/>
        <v>56662.08683</v>
      </c>
      <c r="K50" s="12">
        <f t="shared" si="2"/>
        <v>812033.1196</v>
      </c>
    </row>
    <row r="51">
      <c r="A51" s="7">
        <v>90.0</v>
      </c>
      <c r="B51" s="12">
        <f t="shared" si="3"/>
        <v>106800.1101</v>
      </c>
      <c r="C51" s="7" t="s">
        <v>255</v>
      </c>
      <c r="D51" s="7" t="s">
        <v>237</v>
      </c>
      <c r="E51" s="7">
        <f t="shared" si="4"/>
        <v>7384.79311</v>
      </c>
      <c r="G51" s="12">
        <f t="shared" si="5"/>
        <v>788725.9292</v>
      </c>
      <c r="H51" s="12">
        <f t="shared" si="9"/>
        <v>-58248.62526</v>
      </c>
      <c r="I51" s="12">
        <f t="shared" si="6"/>
        <v>48551.48483</v>
      </c>
      <c r="J51" s="12">
        <f t="shared" si="10"/>
        <v>58248.62526</v>
      </c>
      <c r="K51" s="12">
        <f t="shared" si="2"/>
        <v>796110.7223</v>
      </c>
    </row>
  </sheetData>
  <drawing r:id="rId1"/>
</worksheet>
</file>